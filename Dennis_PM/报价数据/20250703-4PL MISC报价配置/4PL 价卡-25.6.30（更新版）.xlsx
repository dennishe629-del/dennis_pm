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845"/>
  </bookViews>
  <sheets>
    <sheet name="4PL 价格" sheetId="1" r:id="rId1"/>
    <sheet name="合同有效期" sheetId="2" r:id="rId2"/>
  </sheets>
  <externalReferences>
    <externalReference r:id="rId3"/>
  </externalReferences>
  <definedNames>
    <definedName name="InputZip3">'[1]Intermediate Output'!$D$4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<sst xmlns="http://schemas.openxmlformats.org/spreadsheetml/2006/main" count="463" uniqueCount="207">
  <si>
    <t>服务项</t>
  </si>
  <si>
    <r>
      <rPr>
        <b/>
        <sz val="11"/>
        <color rgb="FF000000"/>
        <rFont val="微软雅黑"/>
        <charset val="134"/>
      </rPr>
      <t>计费</t>
    </r>
    <r>
      <rPr>
        <b/>
        <sz val="11"/>
        <color rgb="FF000000"/>
        <rFont val="Calibri"/>
        <charset val="134"/>
      </rPr>
      <t xml:space="preserve">
</t>
    </r>
    <r>
      <rPr>
        <b/>
        <sz val="11"/>
        <color rgb="FF000000"/>
        <rFont val="微软雅黑"/>
        <charset val="134"/>
      </rPr>
      <t>单位</t>
    </r>
  </si>
  <si>
    <t>货型</t>
  </si>
  <si>
    <r>
      <rPr>
        <b/>
        <sz val="11"/>
        <color rgb="FF000000"/>
        <rFont val="Calibri"/>
        <charset val="134"/>
      </rPr>
      <t xml:space="preserve">ONT1-CA91761
</t>
    </r>
    <r>
      <rPr>
        <b/>
        <sz val="11"/>
        <color rgb="FFFF0000"/>
        <rFont val="宋体"/>
        <charset val="134"/>
      </rPr>
      <t>新价卡</t>
    </r>
    <r>
      <rPr>
        <b/>
        <sz val="11"/>
        <color rgb="FFFF0000"/>
        <rFont val="Calibri"/>
        <charset val="134"/>
      </rPr>
      <t xml:space="preserve"> 24.8.1</t>
    </r>
    <r>
      <rPr>
        <b/>
        <sz val="11"/>
        <color rgb="FFFF0000"/>
        <rFont val="宋体"/>
        <charset val="134"/>
      </rPr>
      <t>生效</t>
    </r>
    <r>
      <rPr>
        <b/>
        <sz val="11"/>
        <color rgb="FFFF0000"/>
        <rFont val="Calibri"/>
        <charset val="134"/>
      </rPr>
      <t xml:space="preserve">
</t>
    </r>
    <r>
      <rPr>
        <b/>
        <sz val="11"/>
        <color rgb="FFFF0000"/>
        <rFont val="宋体"/>
        <charset val="134"/>
      </rPr>
      <t>红色字体为变更部分</t>
    </r>
    <r>
      <rPr>
        <b/>
        <sz val="11"/>
        <color rgb="FFFF0000"/>
        <rFont val="Calibri"/>
        <charset val="134"/>
      </rPr>
      <t xml:space="preserve">
</t>
    </r>
  </si>
  <si>
    <r>
      <rPr>
        <b/>
        <sz val="11"/>
        <color rgb="FF000000"/>
        <rFont val="Calibri"/>
        <charset val="134"/>
      </rPr>
      <t xml:space="preserve">ONT2-CA92878
</t>
    </r>
    <r>
      <rPr>
        <b/>
        <sz val="11"/>
        <color rgb="FF000000"/>
        <rFont val="宋体"/>
        <charset val="134"/>
      </rPr>
      <t>新价卡</t>
    </r>
    <r>
      <rPr>
        <b/>
        <sz val="11"/>
        <color rgb="FF000000"/>
        <rFont val="Calibri"/>
        <charset val="134"/>
      </rPr>
      <t xml:space="preserve"> 24.7.1</t>
    </r>
    <r>
      <rPr>
        <b/>
        <sz val="11"/>
        <color rgb="FF000000"/>
        <rFont val="宋体"/>
        <charset val="134"/>
      </rPr>
      <t>生效</t>
    </r>
  </si>
  <si>
    <t>ONT3-CA91752
旧价卡已失效</t>
  </si>
  <si>
    <r>
      <rPr>
        <b/>
        <sz val="11"/>
        <color rgb="FF000000"/>
        <rFont val="宋体"/>
        <charset val="134"/>
      </rPr>
      <t xml:space="preserve">ONT3
新价格定价25.1.10（1.17已配置）
</t>
    </r>
    <r>
      <rPr>
        <b/>
        <sz val="11"/>
        <color rgb="FFFF0000"/>
        <rFont val="宋体"/>
        <charset val="134"/>
      </rPr>
      <t>红字部分为涨价24年11月开始补差价</t>
    </r>
  </si>
  <si>
    <r>
      <rPr>
        <b/>
        <sz val="11"/>
        <color theme="1"/>
        <rFont val="Calibri"/>
        <charset val="134"/>
      </rPr>
      <t xml:space="preserve">ATL1-GA31326
</t>
    </r>
    <r>
      <rPr>
        <b/>
        <sz val="11"/>
        <color theme="1"/>
        <rFont val="宋体"/>
        <charset val="134"/>
      </rPr>
      <t>价卡说明</t>
    </r>
  </si>
  <si>
    <r>
      <rPr>
        <b/>
        <sz val="11"/>
        <color theme="1"/>
        <rFont val="Calibri"/>
        <charset val="134"/>
      </rPr>
      <t xml:space="preserve">IAH1-TX77071
</t>
    </r>
    <r>
      <rPr>
        <b/>
        <sz val="11"/>
        <color theme="1"/>
        <rFont val="宋体"/>
        <charset val="134"/>
      </rPr>
      <t>新价卡</t>
    </r>
    <r>
      <rPr>
        <b/>
        <sz val="11"/>
        <color theme="1"/>
        <rFont val="Calibri"/>
        <charset val="134"/>
      </rPr>
      <t>2024.9.1</t>
    </r>
    <r>
      <rPr>
        <b/>
        <sz val="11"/>
        <color theme="1"/>
        <rFont val="宋体"/>
        <charset val="134"/>
      </rPr>
      <t>生效</t>
    </r>
    <r>
      <rPr>
        <b/>
        <sz val="11"/>
        <color theme="1"/>
        <rFont val="Calibri"/>
        <charset val="134"/>
      </rPr>
      <t xml:space="preserve">
</t>
    </r>
  </si>
  <si>
    <r>
      <rPr>
        <b/>
        <sz val="11"/>
        <color theme="1"/>
        <rFont val="Calibri"/>
        <charset val="134"/>
      </rPr>
      <t xml:space="preserve">IAH2-TX77085
</t>
    </r>
    <r>
      <rPr>
        <b/>
        <sz val="11"/>
        <color theme="1"/>
        <rFont val="宋体"/>
        <charset val="134"/>
      </rPr>
      <t>新价卡</t>
    </r>
    <r>
      <rPr>
        <b/>
        <sz val="11"/>
        <color theme="1"/>
        <rFont val="Calibri"/>
        <charset val="134"/>
      </rPr>
      <t>2025.6.1</t>
    </r>
    <r>
      <rPr>
        <b/>
        <sz val="11"/>
        <color theme="1"/>
        <rFont val="宋体"/>
        <charset val="134"/>
      </rPr>
      <t>生效</t>
    </r>
    <r>
      <rPr>
        <b/>
        <sz val="11"/>
        <color theme="1"/>
        <rFont val="Calibri"/>
        <charset val="134"/>
      </rPr>
      <t xml:space="preserve">
</t>
    </r>
  </si>
  <si>
    <t>ONT4-CA91761
价卡说明</t>
  </si>
  <si>
    <r>
      <rPr>
        <b/>
        <sz val="11"/>
        <color rgb="FF000000"/>
        <rFont val="Calibri"/>
        <charset val="134"/>
      </rPr>
      <t xml:space="preserve">SAV1-GA31322
</t>
    </r>
    <r>
      <rPr>
        <b/>
        <sz val="11"/>
        <color rgb="FF000000"/>
        <rFont val="宋体"/>
        <charset val="134"/>
      </rPr>
      <t>新价卡</t>
    </r>
    <r>
      <rPr>
        <b/>
        <sz val="11"/>
        <color rgb="FF000000"/>
        <rFont val="Calibri"/>
        <charset val="134"/>
      </rPr>
      <t xml:space="preserve">  </t>
    </r>
    <r>
      <rPr>
        <b/>
        <sz val="11"/>
        <color rgb="FF000000"/>
        <rFont val="宋体"/>
        <charset val="134"/>
      </rPr>
      <t>生效</t>
    </r>
  </si>
  <si>
    <r>
      <rPr>
        <b/>
        <sz val="10"/>
        <color theme="1"/>
        <rFont val="宋体"/>
        <charset val="134"/>
      </rPr>
      <t>转运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一件代发到货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打托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理货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上架</t>
    </r>
    <r>
      <rPr>
        <b/>
        <sz val="10"/>
        <color theme="1"/>
        <rFont val="Calibri"/>
        <charset val="134"/>
      </rPr>
      <t xml:space="preserve">
</t>
    </r>
  </si>
  <si>
    <t>托盘</t>
  </si>
  <si>
    <t>托盘整进整出的卸货，如需拆托按散货到货和sku分拣收费</t>
  </si>
  <si>
    <r>
      <rPr>
        <sz val="10"/>
        <color rgb="FFFF0000"/>
        <rFont val="宋体"/>
        <charset val="134"/>
      </rPr>
      <t xml:space="preserve">
</t>
    </r>
    <r>
      <rPr>
        <sz val="10"/>
        <color theme="1"/>
        <rFont val="宋体"/>
        <charset val="134"/>
      </rPr>
      <t xml:space="preserve">
含新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产品尺寸及重量测量费用</t>
    </r>
    <r>
      <rPr>
        <sz val="10"/>
        <color theme="1"/>
        <rFont val="Calibri"/>
        <charset val="134"/>
      </rPr>
      <t xml:space="preserve">;
</t>
    </r>
    <r>
      <rPr>
        <sz val="10"/>
        <color rgb="FFFF0000"/>
        <rFont val="宋体"/>
        <charset val="134"/>
      </rPr>
      <t>针对单箱</t>
    </r>
    <r>
      <rPr>
        <sz val="10"/>
        <color rgb="FFFF0000"/>
        <rFont val="Calibri"/>
        <charset val="134"/>
      </rPr>
      <t>&gt;50lbs</t>
    </r>
    <r>
      <rPr>
        <sz val="10"/>
        <color rgb="FFFF0000"/>
        <rFont val="宋体"/>
        <charset val="134"/>
      </rPr>
      <t>的箱子加收0.5</t>
    </r>
    <r>
      <rPr>
        <sz val="10"/>
        <color rgb="FFFF0000"/>
        <rFont val="Calibri"/>
        <charset val="134"/>
      </rPr>
      <t>/</t>
    </r>
    <r>
      <rPr>
        <sz val="10"/>
        <color rgb="FFFF0000"/>
        <rFont val="宋体"/>
        <charset val="134"/>
      </rPr>
      <t>箱</t>
    </r>
    <r>
      <rPr>
        <sz val="10"/>
        <color rgb="FFFF0000"/>
        <rFont val="Calibri"/>
        <charset val="134"/>
      </rPr>
      <t xml:space="preserve">.
</t>
    </r>
    <r>
      <rPr>
        <sz val="10"/>
        <color theme="1"/>
        <rFont val="Calibri"/>
        <charset val="134"/>
      </rPr>
      <t xml:space="preserve">
SKU</t>
    </r>
    <r>
      <rPr>
        <sz val="10"/>
        <color theme="1"/>
        <rFont val="宋体"/>
        <charset val="134"/>
      </rPr>
      <t>分拣费，,超过</t>
    </r>
    <r>
      <rPr>
        <sz val="10"/>
        <color theme="1"/>
        <rFont val="Calibri"/>
        <charset val="134"/>
      </rPr>
      <t>10</t>
    </r>
    <r>
      <rPr>
        <sz val="10"/>
        <color theme="1"/>
        <rFont val="宋体"/>
        <charset val="134"/>
      </rPr>
      <t>个，超过的部分收取</t>
    </r>
    <r>
      <rPr>
        <sz val="10"/>
        <color theme="1"/>
        <rFont val="Calibri"/>
        <charset val="134"/>
      </rPr>
      <t>$5/sku.</t>
    </r>
  </si>
  <si>
    <t>6.11/CBM</t>
  </si>
  <si>
    <r>
      <rPr>
        <sz val="10"/>
        <rFont val="宋体"/>
        <charset val="134"/>
      </rPr>
      <t>单箱超</t>
    </r>
    <r>
      <rPr>
        <sz val="10"/>
        <rFont val="Calibri"/>
        <charset val="134"/>
      </rPr>
      <t>50</t>
    </r>
    <r>
      <rPr>
        <sz val="10"/>
        <rFont val="宋体"/>
        <charset val="134"/>
      </rPr>
      <t>磅，</t>
    </r>
    <r>
      <rPr>
        <sz val="10"/>
        <rFont val="Calibri"/>
        <charset val="134"/>
      </rPr>
      <t>$0.3/</t>
    </r>
    <r>
      <rPr>
        <sz val="10"/>
        <rFont val="宋体"/>
        <charset val="134"/>
      </rPr>
      <t>箱</t>
    </r>
  </si>
  <si>
    <t xml:space="preserve">
</t>
  </si>
  <si>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宋体"/>
        <charset val="134"/>
      </rPr>
      <t>含新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产品尺寸及重是测是费用。</t>
    </r>
    <r>
      <rPr>
        <sz val="10"/>
        <color theme="1"/>
        <rFont val="Calibri"/>
        <charset val="134"/>
      </rPr>
      <t xml:space="preserve">
SKU</t>
    </r>
    <r>
      <rPr>
        <sz val="10"/>
        <color theme="1"/>
        <rFont val="宋体"/>
        <charset val="134"/>
      </rPr>
      <t>分拣费，超过</t>
    </r>
    <r>
      <rPr>
        <sz val="10"/>
        <color theme="1"/>
        <rFont val="Calibri"/>
        <charset val="134"/>
      </rPr>
      <t>10</t>
    </r>
    <r>
      <rPr>
        <sz val="10"/>
        <color theme="1"/>
        <rFont val="宋体"/>
        <charset val="134"/>
      </rPr>
      <t>个，超过的部分收取</t>
    </r>
    <r>
      <rPr>
        <sz val="10"/>
        <color theme="1"/>
        <rFont val="Calibri"/>
        <charset val="134"/>
      </rPr>
      <t xml:space="preserve"> </t>
    </r>
    <r>
      <rPr>
        <sz val="10"/>
        <color rgb="FFFF0000"/>
        <rFont val="Calibri"/>
        <charset val="134"/>
      </rPr>
      <t>S10/sku</t>
    </r>
    <r>
      <rPr>
        <sz val="10"/>
        <color theme="1"/>
        <rFont val="Calibri"/>
        <charset val="134"/>
      </rPr>
      <t xml:space="preserve">.
</t>
    </r>
    <r>
      <rPr>
        <sz val="10"/>
        <color theme="1"/>
        <rFont val="宋体"/>
        <charset val="134"/>
      </rPr>
      <t>单箱超过</t>
    </r>
    <r>
      <rPr>
        <sz val="10"/>
        <color theme="1"/>
        <rFont val="Calibri"/>
        <charset val="134"/>
      </rPr>
      <t>50Lbs</t>
    </r>
    <r>
      <rPr>
        <sz val="10"/>
        <color theme="1"/>
        <rFont val="宋体"/>
        <charset val="134"/>
      </rPr>
      <t>，针对超过的箱子，加收</t>
    </r>
    <r>
      <rPr>
        <sz val="10"/>
        <color rgb="FFFF0000"/>
        <rFont val="Calibri"/>
        <charset val="134"/>
      </rPr>
      <t>0.1/LBS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箱。</t>
    </r>
  </si>
  <si>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宋体"/>
        <charset val="134"/>
      </rPr>
      <t>含新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产品尺寸及重量测量费用。</t>
    </r>
    <r>
      <rPr>
        <sz val="10"/>
        <color theme="1"/>
        <rFont val="Calibri"/>
        <charset val="134"/>
      </rPr>
      <t xml:space="preserve">
SKU</t>
    </r>
    <r>
      <rPr>
        <sz val="10"/>
        <color theme="1"/>
        <rFont val="宋体"/>
        <charset val="134"/>
      </rPr>
      <t>分拣费，超过</t>
    </r>
    <r>
      <rPr>
        <sz val="10"/>
        <color theme="1"/>
        <rFont val="Calibri"/>
        <charset val="134"/>
      </rPr>
      <t>10</t>
    </r>
    <r>
      <rPr>
        <sz val="10"/>
        <color theme="1"/>
        <rFont val="宋体"/>
        <charset val="134"/>
      </rPr>
      <t>个，超过的部分收取</t>
    </r>
    <r>
      <rPr>
        <sz val="10"/>
        <color theme="1"/>
        <rFont val="Calibri"/>
        <charset val="134"/>
      </rPr>
      <t xml:space="preserve"> </t>
    </r>
    <r>
      <rPr>
        <sz val="10"/>
        <rFont val="Calibri"/>
        <charset val="134"/>
      </rPr>
      <t xml:space="preserve">S4/sku.
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宋体"/>
        <charset val="134"/>
      </rPr>
      <t>单箱超过</t>
    </r>
    <r>
      <rPr>
        <sz val="10"/>
        <color theme="1"/>
        <rFont val="Calibri"/>
        <charset val="134"/>
      </rPr>
      <t>50Lbs</t>
    </r>
    <r>
      <rPr>
        <sz val="10"/>
        <color theme="1"/>
        <rFont val="宋体"/>
        <charset val="134"/>
      </rPr>
      <t>，针对超过的箱子，加收</t>
    </r>
    <r>
      <rPr>
        <sz val="10"/>
        <rFont val="Calibri"/>
        <charset val="134"/>
      </rPr>
      <t>0.4/LBS/</t>
    </r>
    <r>
      <rPr>
        <sz val="10"/>
        <rFont val="宋体"/>
        <charset val="134"/>
      </rPr>
      <t>箱。</t>
    </r>
  </si>
  <si>
    <r>
      <rPr>
        <sz val="10"/>
        <color rgb="FFFF0000"/>
        <rFont val="宋体"/>
        <charset val="134"/>
      </rPr>
      <t xml:space="preserve">
</t>
    </r>
    <r>
      <rPr>
        <sz val="10"/>
        <color theme="1"/>
        <rFont val="宋体"/>
        <charset val="134"/>
      </rPr>
      <t xml:space="preserve">
含新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产品尺寸及重量测量费用</t>
    </r>
    <r>
      <rPr>
        <sz val="10"/>
        <color theme="1"/>
        <rFont val="Calibri"/>
        <charset val="134"/>
      </rPr>
      <t>;
SKU</t>
    </r>
    <r>
      <rPr>
        <sz val="10"/>
        <color theme="1"/>
        <rFont val="宋体"/>
        <charset val="134"/>
      </rPr>
      <t>分拣费，,超过</t>
    </r>
    <r>
      <rPr>
        <sz val="10"/>
        <color theme="1"/>
        <rFont val="Calibri"/>
        <charset val="134"/>
      </rPr>
      <t>10</t>
    </r>
    <r>
      <rPr>
        <sz val="10"/>
        <color theme="1"/>
        <rFont val="宋体"/>
        <charset val="134"/>
      </rPr>
      <t>个，超过的部分收取</t>
    </r>
    <r>
      <rPr>
        <sz val="10"/>
        <color theme="1"/>
        <rFont val="Calibri"/>
        <charset val="134"/>
      </rPr>
      <t xml:space="preserve">$5/sku.
</t>
    </r>
    <r>
      <rPr>
        <sz val="10"/>
        <color theme="1"/>
        <rFont val="宋体"/>
        <charset val="134"/>
      </rPr>
      <t>针对单箱&gt;50lbs的箱子加收0.5/箱.</t>
    </r>
  </si>
  <si>
    <t>箱</t>
  </si>
  <si>
    <t>散货</t>
  </si>
  <si>
    <t>&lt;=50lbs</t>
  </si>
  <si>
    <t>&gt;=50lbs</t>
  </si>
  <si>
    <t>1+0.1</t>
  </si>
  <si>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分拣费</t>
    </r>
  </si>
  <si>
    <r>
      <rPr>
        <sz val="10"/>
        <color theme="1"/>
        <rFont val="宋体"/>
        <charset val="134"/>
      </rPr>
      <t>(混箱-理货费)
若每箱里面</t>
    </r>
    <r>
      <rPr>
        <sz val="10"/>
        <color theme="1"/>
        <rFont val="Calibri"/>
        <charset val="134"/>
      </rPr>
      <t>SKU&gt;1</t>
    </r>
    <r>
      <rPr>
        <sz val="10"/>
        <color theme="1"/>
        <rFont val="宋体"/>
        <charset val="134"/>
      </rPr>
      <t>，则</t>
    </r>
    <r>
      <rPr>
        <sz val="10"/>
        <color theme="1"/>
        <rFont val="Calibri"/>
        <charset val="134"/>
      </rPr>
      <t>0.3/</t>
    </r>
    <r>
      <rPr>
        <sz val="10"/>
        <color theme="1"/>
        <rFont val="宋体"/>
        <charset val="134"/>
      </rPr>
      <t>箱</t>
    </r>
  </si>
  <si>
    <t>/</t>
  </si>
  <si>
    <r>
      <rPr>
        <sz val="10"/>
        <color rgb="FF000000"/>
        <rFont val="宋体"/>
        <charset val="134"/>
      </rPr>
      <t>超过</t>
    </r>
    <r>
      <rPr>
        <sz val="10"/>
        <color rgb="FF000000"/>
        <rFont val="Calibri"/>
        <charset val="134"/>
      </rPr>
      <t>20</t>
    </r>
    <r>
      <rPr>
        <sz val="10"/>
        <color rgb="FF000000"/>
        <rFont val="宋体"/>
        <charset val="134"/>
      </rPr>
      <t>个，超过的部分收取</t>
    </r>
    <r>
      <rPr>
        <sz val="10"/>
        <color rgb="FF000000"/>
        <rFont val="Calibri"/>
        <charset val="134"/>
      </rPr>
      <t>$5/sku.</t>
    </r>
  </si>
  <si>
    <r>
      <rPr>
        <sz val="10"/>
        <rFont val="宋体"/>
        <charset val="134"/>
      </rPr>
      <t>超过</t>
    </r>
    <r>
      <rPr>
        <sz val="10"/>
        <rFont val="Calibri"/>
        <charset val="134"/>
      </rPr>
      <t>20</t>
    </r>
    <r>
      <rPr>
        <sz val="10"/>
        <rFont val="宋体"/>
        <charset val="134"/>
      </rPr>
      <t>个，超过的部分收取</t>
    </r>
    <r>
      <rPr>
        <sz val="10"/>
        <rFont val="Calibri"/>
        <charset val="134"/>
      </rPr>
      <t>$5/sku.</t>
    </r>
  </si>
  <si>
    <r>
      <rPr>
        <sz val="10"/>
        <color rgb="FFFF0000"/>
        <rFont val="宋体"/>
        <charset val="134"/>
      </rPr>
      <t>如果新</t>
    </r>
    <r>
      <rPr>
        <sz val="10"/>
        <color rgb="FFFF0000"/>
        <rFont val="Calibri"/>
        <charset val="134"/>
      </rPr>
      <t>sku</t>
    </r>
    <r>
      <rPr>
        <sz val="10"/>
        <color rgb="FFFF0000"/>
        <rFont val="宋体"/>
        <charset val="134"/>
      </rPr>
      <t>超过</t>
    </r>
    <r>
      <rPr>
        <sz val="10"/>
        <color rgb="FFFF0000"/>
        <rFont val="Calibri"/>
        <charset val="134"/>
      </rPr>
      <t>5</t>
    </r>
    <r>
      <rPr>
        <sz val="10"/>
        <color rgb="FFFF0000"/>
        <rFont val="宋体"/>
        <charset val="134"/>
      </rPr>
      <t>个，超过的部分每个加收</t>
    </r>
    <r>
      <rPr>
        <sz val="10"/>
        <color rgb="FFFF0000"/>
        <rFont val="Calibri"/>
        <charset val="134"/>
      </rPr>
      <t>$5/sku</t>
    </r>
    <r>
      <rPr>
        <sz val="10"/>
        <color rgb="FFFF0000"/>
        <rFont val="宋体"/>
        <charset val="134"/>
      </rPr>
      <t>，超过</t>
    </r>
    <r>
      <rPr>
        <sz val="10"/>
        <color rgb="FFFF0000"/>
        <rFont val="Calibri"/>
        <charset val="134"/>
      </rPr>
      <t>10</t>
    </r>
    <r>
      <rPr>
        <sz val="10"/>
        <color rgb="FFFF0000"/>
        <rFont val="宋体"/>
        <charset val="134"/>
      </rPr>
      <t>个</t>
    </r>
    <r>
      <rPr>
        <sz val="10"/>
        <color rgb="FFFF0000"/>
        <rFont val="Calibri"/>
        <charset val="134"/>
      </rPr>
      <t>SKU</t>
    </r>
    <r>
      <rPr>
        <sz val="10"/>
        <color rgb="FFFF0000"/>
        <rFont val="宋体"/>
        <charset val="134"/>
      </rPr>
      <t>，超过的部分</t>
    </r>
    <r>
      <rPr>
        <sz val="10"/>
        <color rgb="FFFF0000"/>
        <rFont val="Calibri"/>
        <charset val="134"/>
      </rPr>
      <t>$5/SKU.</t>
    </r>
  </si>
  <si>
    <r>
      <rPr>
        <sz val="10"/>
        <color rgb="FF000000"/>
        <rFont val="宋体"/>
        <charset val="134"/>
      </rPr>
      <t>含新SKU产品尺寸及重量测量费用；
超过</t>
    </r>
    <r>
      <rPr>
        <sz val="10"/>
        <color rgb="FF000000"/>
        <rFont val="Calibri"/>
        <charset val="134"/>
      </rPr>
      <t>20</t>
    </r>
    <r>
      <rPr>
        <sz val="10"/>
        <color rgb="FF000000"/>
        <rFont val="宋体"/>
        <charset val="134"/>
      </rPr>
      <t>个，超过的部分收取</t>
    </r>
    <r>
      <rPr>
        <sz val="10"/>
        <color rgb="FF000000"/>
        <rFont val="Calibri"/>
        <charset val="134"/>
      </rPr>
      <t>$5/sku.</t>
    </r>
  </si>
  <si>
    <t>柜</t>
  </si>
  <si>
    <t>20GP</t>
  </si>
  <si>
    <t>$160(palletized)
$230(floor loaded)</t>
  </si>
  <si>
    <t xml:space="preserve">含新SKU产品尺寸及重量测量费用；
如果箱数超过1000箱，超过箱数，每箱收取$0.2/箱的额外理货费
（只有整柜才收）SKU分拣费，超10个的部分收取 $5/SKU.
单箱超过50LBS，针对超过的箱子，加收$0.8/箱；
</t>
  </si>
  <si>
    <r>
      <rPr>
        <sz val="10"/>
        <color rgb="FF000000"/>
        <rFont val="宋体"/>
        <charset val="134"/>
      </rPr>
      <t>含新</t>
    </r>
    <r>
      <rPr>
        <sz val="10"/>
        <color rgb="FF000000"/>
        <rFont val="Calibri"/>
        <charset val="134"/>
      </rPr>
      <t>SKU</t>
    </r>
    <r>
      <rPr>
        <sz val="10"/>
        <color rgb="FF000000"/>
        <rFont val="宋体"/>
        <charset val="134"/>
      </rPr>
      <t>产品尺寸及重量测量费用
超过20个，超过的部分收取$5/sku.</t>
    </r>
  </si>
  <si>
    <r>
      <rPr>
        <sz val="10"/>
        <color rgb="FFFF0000"/>
        <rFont val="Calibri"/>
        <charset val="134"/>
      </rPr>
      <t>$190(palletized)</t>
    </r>
    <r>
      <rPr>
        <sz val="10"/>
        <rFont val="Calibri"/>
        <charset val="134"/>
      </rPr>
      <t xml:space="preserve">
$230(floor loaded)</t>
    </r>
  </si>
  <si>
    <r>
      <rPr>
        <sz val="10"/>
        <rFont val="宋体"/>
        <charset val="134"/>
      </rPr>
      <t>含新</t>
    </r>
    <r>
      <rPr>
        <sz val="10"/>
        <rFont val="Calibri"/>
        <charset val="134"/>
      </rPr>
      <t>SKU</t>
    </r>
    <r>
      <rPr>
        <sz val="10"/>
        <rFont val="宋体"/>
        <charset val="134"/>
      </rPr>
      <t>产品尺寸及重量测量费用
超过20个，超过的部分收取$5/sku.
单箱超50磅，$0.3/箱</t>
    </r>
  </si>
  <si>
    <r>
      <rPr>
        <sz val="10"/>
        <color theme="1"/>
        <rFont val="宋体"/>
        <charset val="134"/>
      </rPr>
      <t>含新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产品尺寸及重量测量费用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宋体"/>
        <charset val="134"/>
      </rPr>
      <t>针对单箱</t>
    </r>
    <r>
      <rPr>
        <sz val="10"/>
        <color theme="1"/>
        <rFont val="Calibri"/>
        <charset val="134"/>
      </rPr>
      <t>&gt;50 lbs</t>
    </r>
    <r>
      <rPr>
        <sz val="10"/>
        <color theme="1"/>
        <rFont val="宋体"/>
        <charset val="134"/>
      </rPr>
      <t>的箱子加收</t>
    </r>
    <r>
      <rPr>
        <sz val="10"/>
        <color theme="1"/>
        <rFont val="Calibri"/>
        <charset val="134"/>
      </rPr>
      <t>$0.5/</t>
    </r>
    <r>
      <rPr>
        <sz val="10"/>
        <color theme="1"/>
        <rFont val="宋体"/>
        <charset val="134"/>
      </rPr>
      <t>箱</t>
    </r>
    <r>
      <rPr>
        <sz val="10"/>
        <color theme="1"/>
        <rFont val="Calibri"/>
        <charset val="134"/>
      </rPr>
      <t xml:space="preserve">.
</t>
    </r>
    <r>
      <rPr>
        <sz val="10"/>
        <color theme="1"/>
        <rFont val="宋体"/>
        <charset val="134"/>
      </rPr>
      <t>如果新sku超过5个，超过的部分每个加收$5/sku，超过10个SKU，超过的部分SKU$5/SKU.</t>
    </r>
  </si>
  <si>
    <t>$220(palletized)
$350(floor loaded)</t>
  </si>
  <si>
    <t>40GP</t>
  </si>
  <si>
    <t>$200(palletized)
$360(floor loaded)</t>
  </si>
  <si>
    <r>
      <rPr>
        <sz val="10"/>
        <color theme="1"/>
        <rFont val="Calibri"/>
        <charset val="134"/>
      </rPr>
      <t xml:space="preserve">$200(palletized)
</t>
    </r>
    <r>
      <rPr>
        <sz val="10"/>
        <color rgb="FFFF0000"/>
        <rFont val="Calibri"/>
        <charset val="134"/>
      </rPr>
      <t>$380</t>
    </r>
    <r>
      <rPr>
        <sz val="10"/>
        <color theme="1"/>
        <rFont val="Calibri"/>
        <charset val="134"/>
      </rPr>
      <t>(floor loaded)</t>
    </r>
  </si>
  <si>
    <t>$200(palletized)
$350(floor loaded)</t>
  </si>
  <si>
    <r>
      <rPr>
        <sz val="10"/>
        <color rgb="FFFF0000"/>
        <rFont val="Calibri"/>
        <charset val="134"/>
      </rPr>
      <t>$240(palletized)</t>
    </r>
    <r>
      <rPr>
        <sz val="10"/>
        <rFont val="Calibri"/>
        <charset val="134"/>
      </rPr>
      <t xml:space="preserve">
$350(floor loaded)</t>
    </r>
  </si>
  <si>
    <t>$320(palletized)
$370(floor loaded)</t>
  </si>
  <si>
    <t>$280(palletized)
$450(floor loaded)</t>
  </si>
  <si>
    <t>$200(palletized)
$370(floor loaded)</t>
  </si>
  <si>
    <t>40HQ</t>
  </si>
  <si>
    <t>$320(palletized)
$380(floor loaded)</t>
  </si>
  <si>
    <t>$280(palletized)
$550(floor loaded)</t>
  </si>
  <si>
    <r>
      <rPr>
        <sz val="9"/>
        <rFont val="Calibri"/>
        <charset val="134"/>
      </rPr>
      <t>$250(palletized)</t>
    </r>
    <r>
      <rPr>
        <sz val="9"/>
        <color rgb="FFFF0000"/>
        <rFont val="Calibri"/>
        <charset val="134"/>
      </rPr>
      <t xml:space="preserve">
$400(floor loaded)</t>
    </r>
  </si>
  <si>
    <t>45HQ</t>
  </si>
  <si>
    <t>$220(palletized)
$400(floor loaded)</t>
  </si>
  <si>
    <r>
      <rPr>
        <sz val="10"/>
        <color theme="1"/>
        <rFont val="Calibri"/>
        <charset val="134"/>
      </rPr>
      <t xml:space="preserve">$220(palletized)
</t>
    </r>
    <r>
      <rPr>
        <sz val="10"/>
        <color rgb="FFFF0000"/>
        <rFont val="Calibri"/>
        <charset val="134"/>
      </rPr>
      <t>$430</t>
    </r>
    <r>
      <rPr>
        <sz val="10"/>
        <color theme="1"/>
        <rFont val="Calibri"/>
        <charset val="134"/>
      </rPr>
      <t>(floor loaded)</t>
    </r>
  </si>
  <si>
    <t>$220(palletized)
$380(floor loaded)</t>
  </si>
  <si>
    <r>
      <rPr>
        <sz val="10"/>
        <color rgb="FFFF0000"/>
        <rFont val="Calibri"/>
        <charset val="134"/>
      </rPr>
      <t>$265(palletized)</t>
    </r>
    <r>
      <rPr>
        <sz val="10"/>
        <rFont val="Calibri"/>
        <charset val="134"/>
      </rPr>
      <t xml:space="preserve">
$380(floor loaded)</t>
    </r>
  </si>
  <si>
    <t>$320(palletized)
$400(floor loaded)</t>
  </si>
  <si>
    <r>
      <rPr>
        <sz val="9"/>
        <rFont val="Calibri"/>
        <charset val="134"/>
      </rPr>
      <t>$300(palletized)</t>
    </r>
    <r>
      <rPr>
        <sz val="9"/>
        <color rgb="FFFF0000"/>
        <rFont val="Calibri"/>
        <charset val="134"/>
      </rPr>
      <t xml:space="preserve">
$450(floor loaded)</t>
    </r>
  </si>
  <si>
    <t>53 Container</t>
  </si>
  <si>
    <t>$240(palletized)
$450(floor loaded)</t>
  </si>
  <si>
    <r>
      <rPr>
        <sz val="10"/>
        <color theme="1"/>
        <rFont val="Calibri"/>
        <charset val="134"/>
      </rPr>
      <t xml:space="preserve">$240(palletized)
</t>
    </r>
    <r>
      <rPr>
        <sz val="10"/>
        <color rgb="FFFF0000"/>
        <rFont val="Calibri"/>
        <charset val="134"/>
      </rPr>
      <t>$480</t>
    </r>
    <r>
      <rPr>
        <sz val="10"/>
        <color theme="1"/>
        <rFont val="Calibri"/>
        <charset val="134"/>
      </rPr>
      <t>(floor loaded)</t>
    </r>
  </si>
  <si>
    <t>$240(palletized)
$420(floor loaded)</t>
  </si>
  <si>
    <r>
      <rPr>
        <sz val="10"/>
        <color rgb="FFFF0000"/>
        <rFont val="Calibri"/>
        <charset val="134"/>
      </rPr>
      <t>$290(palletized)</t>
    </r>
    <r>
      <rPr>
        <sz val="10"/>
        <color rgb="FF000000"/>
        <rFont val="Calibri"/>
        <charset val="134"/>
      </rPr>
      <t xml:space="preserve">
$500(floor loaded)</t>
    </r>
  </si>
  <si>
    <t>$360(palletized)
$450(floor loaded)</t>
  </si>
  <si>
    <t>$280(palletized)
$650(floor loaded)</t>
  </si>
  <si>
    <r>
      <rPr>
        <sz val="9"/>
        <rFont val="Calibri"/>
        <charset val="134"/>
      </rPr>
      <t>$350(palletized)</t>
    </r>
    <r>
      <rPr>
        <sz val="9"/>
        <color rgb="FFFF0000"/>
        <rFont val="Calibri"/>
        <charset val="134"/>
      </rPr>
      <t xml:space="preserve">
$600(floor loaded)</t>
    </r>
  </si>
  <si>
    <t>每标签</t>
  </si>
  <si>
    <r>
      <rPr>
        <sz val="10"/>
        <color theme="1"/>
        <rFont val="宋体"/>
        <charset val="134"/>
      </rPr>
      <t>贴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换标签</t>
    </r>
  </si>
  <si>
    <t>托</t>
  </si>
  <si>
    <t>转运打托</t>
  </si>
  <si>
    <r>
      <rPr>
        <sz val="10"/>
        <color theme="1"/>
        <rFont val="宋体"/>
        <charset val="134"/>
      </rPr>
      <t>含托盘、拉伸膜等材料费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使用</t>
    </r>
    <r>
      <rPr>
        <sz val="10"/>
        <color theme="1"/>
        <rFont val="Calibri"/>
        <charset val="134"/>
      </rPr>
      <t>LTL</t>
    </r>
    <r>
      <rPr>
        <sz val="10"/>
        <color theme="1"/>
        <rFont val="宋体"/>
        <charset val="134"/>
      </rPr>
      <t>和</t>
    </r>
    <r>
      <rPr>
        <sz val="10"/>
        <color theme="1"/>
        <rFont val="Calibri"/>
        <charset val="134"/>
      </rPr>
      <t>TL</t>
    </r>
    <r>
      <rPr>
        <sz val="10"/>
        <color theme="1"/>
        <rFont val="宋体"/>
        <charset val="134"/>
      </rPr>
      <t>卡车运输时的操作费</t>
    </r>
  </si>
  <si>
    <t>出库转运操作费</t>
  </si>
  <si>
    <r>
      <rPr>
        <sz val="10"/>
        <color theme="1"/>
        <rFont val="宋体"/>
        <charset val="134"/>
      </rPr>
      <t>托盘出库操作费</t>
    </r>
  </si>
  <si>
    <t>出库理货费</t>
  </si>
  <si>
    <r>
      <rPr>
        <sz val="10"/>
        <color theme="1"/>
        <rFont val="宋体"/>
        <charset val="134"/>
      </rPr>
      <t>单个托盘大于</t>
    </r>
    <r>
      <rPr>
        <sz val="10"/>
        <color rgb="FFFF0000"/>
        <rFont val="Calibri"/>
        <charset val="134"/>
      </rPr>
      <t>20</t>
    </r>
    <r>
      <rPr>
        <sz val="10"/>
        <color theme="1"/>
        <rFont val="宋体"/>
        <charset val="134"/>
      </rPr>
      <t>箱，超过的数量，收取额外卸货费</t>
    </r>
  </si>
  <si>
    <t>一件代发操作费</t>
  </si>
  <si>
    <r>
      <rPr>
        <sz val="10"/>
        <color theme="1"/>
        <rFont val="宋体"/>
        <charset val="134"/>
      </rPr>
      <t>拣货打包</t>
    </r>
    <r>
      <rPr>
        <sz val="10"/>
        <color theme="1"/>
        <rFont val="Calibri"/>
        <charset val="134"/>
      </rPr>
      <t xml:space="preserve">
(</t>
    </r>
    <r>
      <rPr>
        <sz val="10"/>
        <color theme="1"/>
        <rFont val="宋体"/>
        <charset val="134"/>
      </rPr>
      <t>不含包装箱费用）</t>
    </r>
  </si>
  <si>
    <t>x&lt;=1 lb</t>
  </si>
  <si>
    <r>
      <rPr>
        <sz val="10"/>
        <color theme="1"/>
        <rFont val="宋体"/>
        <charset val="134"/>
      </rPr>
      <t xml:space="preserve">/系统最小计量单位派
pcs or carton
</t>
    </r>
    <r>
      <rPr>
        <sz val="10"/>
        <color rgb="FFFF0000"/>
        <rFont val="宋体"/>
        <charset val="134"/>
      </rPr>
      <t>如果不使用FRF物流账号，则0&lt;x&lt;=5LBs包惠加收$0.4/pcs or carton；
5&lt;x&lt;=50LBs包惠加收$0.6/pcs or carton；
50&lt;x&lt;=90LBs包惠加收$ 1/pcs or carton；
&gt;90LBs包惠加收$1.5/pcs or carton
如果退货产品有一件代发的需求，则以此价格为准</t>
    </r>
  </si>
  <si>
    <t>0&lt;X&lt;=1.1lb</t>
  </si>
  <si>
    <r>
      <rPr>
        <sz val="10"/>
        <color theme="1"/>
        <rFont val="宋体"/>
        <charset val="134"/>
      </rPr>
      <t>按尾端运输</t>
    </r>
    <r>
      <rPr>
        <sz val="10"/>
        <color theme="1"/>
        <rFont val="Calibri"/>
        <charset val="134"/>
      </rPr>
      <t>tracking</t>
    </r>
    <r>
      <rPr>
        <sz val="10"/>
        <color theme="1"/>
        <rFont val="宋体"/>
        <charset val="134"/>
      </rPr>
      <t>维度总重量计费</t>
    </r>
    <r>
      <rPr>
        <sz val="10"/>
        <color theme="1"/>
        <rFont val="Calibri"/>
        <charset val="134"/>
      </rPr>
      <t xml:space="preserve">--
</t>
    </r>
    <r>
      <rPr>
        <sz val="10"/>
        <color theme="1"/>
        <rFont val="宋体"/>
        <charset val="134"/>
      </rPr>
      <t>另每多一个新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，则多出来的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附加费为</t>
    </r>
    <r>
      <rPr>
        <sz val="10"/>
        <color theme="1"/>
        <rFont val="Calibri"/>
        <charset val="134"/>
      </rPr>
      <t>$0.1/SKU</t>
    </r>
    <r>
      <rPr>
        <sz val="10"/>
        <color theme="1"/>
        <rFont val="宋体"/>
        <charset val="134"/>
      </rPr>
      <t>；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宋体"/>
        <charset val="134"/>
      </rPr>
      <t>所有</t>
    </r>
    <r>
      <rPr>
        <sz val="10"/>
        <color theme="1"/>
        <rFont val="Calibri"/>
        <charset val="134"/>
      </rPr>
      <t>SPD</t>
    </r>
    <r>
      <rPr>
        <sz val="10"/>
        <color theme="1"/>
        <rFont val="宋体"/>
        <charset val="134"/>
      </rPr>
      <t>的订单不计算多出来的新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的附加费</t>
    </r>
  </si>
  <si>
    <r>
      <rPr>
        <sz val="10"/>
        <color rgb="FF000000"/>
        <rFont val="宋体"/>
        <charset val="134"/>
      </rPr>
      <t>按尾端运输</t>
    </r>
    <r>
      <rPr>
        <sz val="10"/>
        <color rgb="FF000000"/>
        <rFont val="Calibri"/>
        <charset val="134"/>
      </rPr>
      <t>tracking</t>
    </r>
    <r>
      <rPr>
        <sz val="10"/>
        <color rgb="FF000000"/>
        <rFont val="宋体"/>
        <charset val="134"/>
      </rPr>
      <t>维度总重量计费</t>
    </r>
    <r>
      <rPr>
        <sz val="10"/>
        <color rgb="FF000000"/>
        <rFont val="Calibri"/>
        <charset val="134"/>
      </rPr>
      <t xml:space="preserve">---
</t>
    </r>
    <r>
      <rPr>
        <sz val="10"/>
        <color rgb="FF000000"/>
        <rFont val="宋体"/>
        <charset val="134"/>
      </rPr>
      <t>另每多一个新</t>
    </r>
    <r>
      <rPr>
        <sz val="10"/>
        <color rgb="FF000000"/>
        <rFont val="Calibri"/>
        <charset val="134"/>
      </rPr>
      <t>SKU</t>
    </r>
    <r>
      <rPr>
        <sz val="10"/>
        <color rgb="FF000000"/>
        <rFont val="宋体"/>
        <charset val="134"/>
      </rPr>
      <t>，则多出来的</t>
    </r>
    <r>
      <rPr>
        <sz val="10"/>
        <color rgb="FF000000"/>
        <rFont val="Calibri"/>
        <charset val="134"/>
      </rPr>
      <t>SKU</t>
    </r>
    <r>
      <rPr>
        <sz val="10"/>
        <color rgb="FF000000"/>
        <rFont val="宋体"/>
        <charset val="134"/>
      </rPr>
      <t>附加费为</t>
    </r>
    <r>
      <rPr>
        <sz val="10"/>
        <color rgb="FF000000"/>
        <rFont val="Calibri"/>
        <charset val="134"/>
      </rPr>
      <t>$0.1/SKU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宋体"/>
        <charset val="134"/>
      </rPr>
      <t>所有</t>
    </r>
    <r>
      <rPr>
        <sz val="10"/>
        <color rgb="FF000000"/>
        <rFont val="Calibri"/>
        <charset val="134"/>
      </rPr>
      <t>SPD</t>
    </r>
    <r>
      <rPr>
        <sz val="10"/>
        <color rgb="FF000000"/>
        <rFont val="宋体"/>
        <charset val="134"/>
      </rPr>
      <t>的订单不计算多出来的新</t>
    </r>
    <r>
      <rPr>
        <sz val="10"/>
        <color rgb="FF000000"/>
        <rFont val="Calibri"/>
        <charset val="134"/>
      </rPr>
      <t>SKU</t>
    </r>
    <r>
      <rPr>
        <sz val="10"/>
        <color rgb="FF000000"/>
        <rFont val="宋体"/>
        <charset val="134"/>
      </rPr>
      <t>的附加费</t>
    </r>
  </si>
  <si>
    <r>
      <rPr>
        <sz val="10"/>
        <color rgb="FF000000"/>
        <rFont val="宋体"/>
        <charset val="134"/>
      </rPr>
      <t>按尾端运输</t>
    </r>
    <r>
      <rPr>
        <sz val="10"/>
        <color rgb="FF000000"/>
        <rFont val="Calibri"/>
        <charset val="134"/>
      </rPr>
      <t>tracking</t>
    </r>
    <r>
      <rPr>
        <sz val="10"/>
        <color rgb="FF000000"/>
        <rFont val="宋体"/>
        <charset val="134"/>
      </rPr>
      <t>维度总重量计费</t>
    </r>
    <r>
      <rPr>
        <sz val="10"/>
        <color rgb="FF000000"/>
        <rFont val="Calibri"/>
        <charset val="134"/>
      </rPr>
      <t xml:space="preserve">---
</t>
    </r>
    <r>
      <rPr>
        <sz val="10"/>
        <color rgb="FFFF0000"/>
        <rFont val="宋体"/>
        <charset val="134"/>
      </rPr>
      <t>另每多一个新</t>
    </r>
    <r>
      <rPr>
        <sz val="10"/>
        <color rgb="FFFF0000"/>
        <rFont val="Calibri"/>
        <charset val="134"/>
      </rPr>
      <t>SKU</t>
    </r>
    <r>
      <rPr>
        <sz val="10"/>
        <color rgb="FFFF0000"/>
        <rFont val="宋体"/>
        <charset val="134"/>
      </rPr>
      <t>，则多出来的</t>
    </r>
    <r>
      <rPr>
        <sz val="10"/>
        <color rgb="FFFF0000"/>
        <rFont val="Calibri"/>
        <charset val="134"/>
      </rPr>
      <t>SKU</t>
    </r>
    <r>
      <rPr>
        <sz val="10"/>
        <color rgb="FFFF0000"/>
        <rFont val="宋体"/>
        <charset val="134"/>
      </rPr>
      <t>附加费为</t>
    </r>
    <r>
      <rPr>
        <sz val="10"/>
        <color rgb="FFFF0000"/>
        <rFont val="Calibri"/>
        <charset val="134"/>
      </rPr>
      <t>$0.12/SKU</t>
    </r>
    <r>
      <rPr>
        <sz val="10"/>
        <color rgb="FFFF0000"/>
        <rFont val="宋体"/>
        <charset val="134"/>
      </rPr>
      <t>；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宋体"/>
        <charset val="134"/>
      </rPr>
      <t>所有</t>
    </r>
    <r>
      <rPr>
        <sz val="10"/>
        <color rgb="FF000000"/>
        <rFont val="Calibri"/>
        <charset val="134"/>
      </rPr>
      <t>SPD</t>
    </r>
    <r>
      <rPr>
        <sz val="10"/>
        <color rgb="FF000000"/>
        <rFont val="宋体"/>
        <charset val="134"/>
      </rPr>
      <t>的订单不计算多出来的新</t>
    </r>
    <r>
      <rPr>
        <sz val="10"/>
        <color rgb="FF000000"/>
        <rFont val="Calibri"/>
        <charset val="134"/>
      </rPr>
      <t>SKU</t>
    </r>
    <r>
      <rPr>
        <sz val="10"/>
        <color rgb="FF000000"/>
        <rFont val="宋体"/>
        <charset val="134"/>
      </rPr>
      <t>的附加费</t>
    </r>
  </si>
  <si>
    <r>
      <rPr>
        <sz val="10"/>
        <color theme="1"/>
        <rFont val="宋体"/>
        <charset val="134"/>
      </rPr>
      <t>按每件产品对应重量计费（加总）
所有</t>
    </r>
    <r>
      <rPr>
        <sz val="10"/>
        <color theme="1"/>
        <rFont val="Calibri"/>
        <charset val="134"/>
      </rPr>
      <t>SFP</t>
    </r>
    <r>
      <rPr>
        <sz val="10"/>
        <color theme="1"/>
        <rFont val="宋体"/>
        <charset val="134"/>
      </rPr>
      <t>订单如果不拆箱，则按照箱的维度计算</t>
    </r>
  </si>
  <si>
    <r>
      <rPr>
        <sz val="10"/>
        <color theme="1"/>
        <rFont val="宋体"/>
        <charset val="134"/>
      </rPr>
      <t>按尾端运输</t>
    </r>
    <r>
      <rPr>
        <sz val="10"/>
        <color theme="1"/>
        <rFont val="Calibri"/>
        <charset val="134"/>
      </rPr>
      <t>tracking</t>
    </r>
    <r>
      <rPr>
        <sz val="10"/>
        <color theme="1"/>
        <rFont val="宋体"/>
        <charset val="134"/>
      </rPr>
      <t>维度总重量计费（PCS/carton）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宋体"/>
        <charset val="134"/>
      </rPr>
      <t>另每多一个新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，则多出来的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附加费为</t>
    </r>
    <r>
      <rPr>
        <sz val="10"/>
        <color theme="1"/>
        <rFont val="Calibri"/>
        <charset val="134"/>
      </rPr>
      <t>$0.1/SKU</t>
    </r>
    <r>
      <rPr>
        <sz val="10"/>
        <color theme="1"/>
        <rFont val="宋体"/>
        <charset val="134"/>
      </rPr>
      <t>；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宋体"/>
        <charset val="134"/>
      </rPr>
      <t>所有</t>
    </r>
    <r>
      <rPr>
        <sz val="10"/>
        <color theme="1"/>
        <rFont val="Calibri"/>
        <charset val="134"/>
      </rPr>
      <t>SPD</t>
    </r>
    <r>
      <rPr>
        <sz val="10"/>
        <color theme="1"/>
        <rFont val="宋体"/>
        <charset val="134"/>
      </rPr>
      <t>的订单不计算多出来的新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的附加费</t>
    </r>
  </si>
  <si>
    <r>
      <t>按尾端运输</t>
    </r>
    <r>
      <rPr>
        <sz val="10"/>
        <color theme="1"/>
        <rFont val="Calibri"/>
        <charset val="134"/>
      </rPr>
      <t>tracking</t>
    </r>
    <r>
      <rPr>
        <sz val="10"/>
        <color theme="1"/>
        <rFont val="宋体"/>
        <charset val="134"/>
      </rPr>
      <t>维度总重量计费（PCS/carton）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宋体"/>
        <charset val="134"/>
      </rPr>
      <t>另每多一个新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，则多出来的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附加费为</t>
    </r>
    <r>
      <rPr>
        <sz val="10"/>
        <color theme="1"/>
        <rFont val="Calibri"/>
        <charset val="134"/>
      </rPr>
      <t>$0.1/SKU</t>
    </r>
    <r>
      <rPr>
        <sz val="10"/>
        <color theme="1"/>
        <rFont val="宋体"/>
        <charset val="134"/>
      </rPr>
      <t>；所有</t>
    </r>
    <r>
      <rPr>
        <sz val="10"/>
        <color theme="1"/>
        <rFont val="Calibri"/>
        <charset val="134"/>
      </rPr>
      <t>SPD</t>
    </r>
    <r>
      <rPr>
        <sz val="10"/>
        <color theme="1"/>
        <rFont val="宋体"/>
        <charset val="134"/>
      </rPr>
      <t>的订单不计算多出来的新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 xml:space="preserve">的附加费
</t>
    </r>
    <r>
      <rPr>
        <sz val="10"/>
        <color rgb="FFFF0000"/>
        <rFont val="宋体"/>
        <charset val="134"/>
      </rPr>
      <t>拣货打包贴标(包含打包动作，tape, label及填充物，但不含纸箱和包装袋费用),使用我司物流账号不另外付费)</t>
    </r>
  </si>
  <si>
    <r>
      <rPr>
        <sz val="10"/>
        <color rgb="FF000000"/>
        <rFont val="宋体"/>
        <charset val="134"/>
      </rPr>
      <t>按尾端运输</t>
    </r>
    <r>
      <rPr>
        <sz val="10"/>
        <color rgb="FF000000"/>
        <rFont val="Calibri"/>
        <charset val="134"/>
      </rPr>
      <t>tracking</t>
    </r>
    <r>
      <rPr>
        <sz val="10"/>
        <color rgb="FF000000"/>
        <rFont val="宋体"/>
        <charset val="134"/>
      </rPr>
      <t>维度总重量计费</t>
    </r>
    <r>
      <rPr>
        <sz val="10"/>
        <color rgb="FF000000"/>
        <rFont val="Calibri"/>
        <charset val="134"/>
      </rPr>
      <t xml:space="preserve">---
</t>
    </r>
    <r>
      <rPr>
        <sz val="10"/>
        <color rgb="FF000000"/>
        <rFont val="宋体"/>
        <charset val="134"/>
      </rPr>
      <t>另每多一个新</t>
    </r>
    <r>
      <rPr>
        <sz val="10"/>
        <color rgb="FF000000"/>
        <rFont val="Calibri"/>
        <charset val="134"/>
      </rPr>
      <t>SKU</t>
    </r>
    <r>
      <rPr>
        <sz val="10"/>
        <color rgb="FF000000"/>
        <rFont val="宋体"/>
        <charset val="134"/>
      </rPr>
      <t>，则多出来的</t>
    </r>
    <r>
      <rPr>
        <sz val="10"/>
        <color rgb="FF000000"/>
        <rFont val="Calibri"/>
        <charset val="134"/>
      </rPr>
      <t>SKU</t>
    </r>
    <r>
      <rPr>
        <sz val="10"/>
        <color rgb="FF000000"/>
        <rFont val="宋体"/>
        <charset val="134"/>
      </rPr>
      <t>附加费为</t>
    </r>
    <r>
      <rPr>
        <sz val="10"/>
        <color rgb="FF000000"/>
        <rFont val="Calibri"/>
        <charset val="134"/>
      </rPr>
      <t>$0.1/SKU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宋体"/>
        <charset val="134"/>
      </rPr>
      <t>所有</t>
    </r>
    <r>
      <rPr>
        <sz val="10"/>
        <color rgb="FF000000"/>
        <rFont val="Calibri"/>
        <charset val="134"/>
      </rPr>
      <t>SPD</t>
    </r>
    <r>
      <rPr>
        <sz val="10"/>
        <color rgb="FF000000"/>
        <rFont val="宋体"/>
        <charset val="134"/>
      </rPr>
      <t>的订单不计算多出来的新</t>
    </r>
    <r>
      <rPr>
        <sz val="10"/>
        <color rgb="FF000000"/>
        <rFont val="Calibri"/>
        <charset val="134"/>
      </rPr>
      <t>SKU</t>
    </r>
    <r>
      <rPr>
        <sz val="10"/>
        <color rgb="FF000000"/>
        <rFont val="宋体"/>
        <charset val="134"/>
      </rPr>
      <t>的附加费</t>
    </r>
    <r>
      <rPr>
        <sz val="10"/>
        <color rgb="FF000000"/>
        <rFont val="Calibri"/>
        <charset val="134"/>
      </rPr>
      <t xml:space="preserve">
</t>
    </r>
    <r>
      <rPr>
        <sz val="10"/>
        <color rgb="FF000000"/>
        <rFont val="宋体"/>
        <charset val="134"/>
      </rPr>
      <t>如果退货产品有一件代发的需求，则以此价格为准</t>
    </r>
  </si>
  <si>
    <t>1&lt;x &lt;= 2 lbs</t>
  </si>
  <si>
    <t>1.1&lt;X&lt;=2.2 lbs</t>
  </si>
  <si>
    <t>2 &lt;x&lt;=4 lbs</t>
  </si>
  <si>
    <t>2.2&lt;X&lt;=4.41 lbs</t>
  </si>
  <si>
    <t>4 &lt; x &lt;= 10 lbs</t>
  </si>
  <si>
    <t>4.41&lt;X&lt;=11.02 lbs</t>
  </si>
  <si>
    <t>10 &lt;x &lt;= 20 lbs</t>
  </si>
  <si>
    <t>11.02&lt;X&lt;=22.04 lbs</t>
  </si>
  <si>
    <t>20&lt;x &lt;= 50 lbs</t>
  </si>
  <si>
    <t>22.04&lt;X&lt;=44.09 lbs</t>
  </si>
  <si>
    <t>50 &lt; x &lt;= 70 lbs</t>
  </si>
  <si>
    <t>44.09&lt;X&lt;=66.13 lbs</t>
  </si>
  <si>
    <t>70 &lt;x &lt;= 90 lbs</t>
  </si>
  <si>
    <t>66.13&lt;X&lt;=88.18 lbs</t>
  </si>
  <si>
    <t>90&lt; x &lt;=110 1bs</t>
  </si>
  <si>
    <t>88.18&lt;X&lt;=110.23 lbs</t>
  </si>
  <si>
    <t>111&lt;x</t>
  </si>
  <si>
    <t>110.23&lt;X</t>
  </si>
  <si>
    <t>110.23&lt;X&lt;150lbs</t>
  </si>
  <si>
    <r>
      <rPr>
        <b/>
        <sz val="10"/>
        <color theme="1"/>
        <rFont val="Calibri"/>
        <charset val="134"/>
      </rPr>
      <t>SGFN</t>
    </r>
    <r>
      <rPr>
        <b/>
        <sz val="10"/>
        <color theme="1"/>
        <rFont val="宋体"/>
        <charset val="134"/>
      </rPr>
      <t>退货到货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打托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理货</t>
    </r>
    <r>
      <rPr>
        <b/>
        <sz val="10"/>
        <color theme="1"/>
        <rFont val="Calibri"/>
        <charset val="134"/>
      </rPr>
      <t>+</t>
    </r>
    <r>
      <rPr>
        <b/>
        <sz val="10"/>
        <color theme="1"/>
        <rFont val="宋体"/>
        <charset val="134"/>
      </rPr>
      <t>上架</t>
    </r>
    <r>
      <rPr>
        <b/>
        <sz val="10"/>
        <color theme="1"/>
        <rFont val="Calibri"/>
        <charset val="134"/>
      </rPr>
      <t xml:space="preserve">
</t>
    </r>
  </si>
  <si>
    <t>入库托盘</t>
  </si>
  <si>
    <r>
      <rPr>
        <sz val="10"/>
        <color rgb="FFFF0000"/>
        <rFont val="Calibri"/>
        <charset val="134"/>
      </rPr>
      <t>$2/</t>
    </r>
    <r>
      <rPr>
        <sz val="10"/>
        <color rgb="FFFF0000"/>
        <rFont val="宋体"/>
        <charset val="134"/>
      </rPr>
      <t>箱</t>
    </r>
    <r>
      <rPr>
        <sz val="10"/>
        <color rgb="FFFF0000"/>
        <rFont val="Calibri"/>
        <charset val="134"/>
      </rPr>
      <t>+0.25/pcs</t>
    </r>
  </si>
  <si>
    <r>
      <rPr>
        <sz val="10"/>
        <color theme="1"/>
        <rFont val="Calibri"/>
        <charset val="134"/>
      </rPr>
      <t>$1.5/</t>
    </r>
    <r>
      <rPr>
        <sz val="10"/>
        <color theme="1"/>
        <rFont val="宋体"/>
        <charset val="134"/>
      </rPr>
      <t>箱</t>
    </r>
    <r>
      <rPr>
        <sz val="10"/>
        <color theme="1"/>
        <rFont val="Calibri"/>
        <charset val="134"/>
      </rPr>
      <t>+0.25/</t>
    </r>
    <r>
      <rPr>
        <sz val="10"/>
        <color theme="1"/>
        <rFont val="宋体"/>
        <charset val="134"/>
      </rPr>
      <t>件</t>
    </r>
  </si>
  <si>
    <r>
      <rPr>
        <sz val="10"/>
        <color theme="1"/>
        <rFont val="宋体"/>
        <charset val="134"/>
      </rPr>
      <t>退货处理流程包含卸货，理货，外箱简单处理，正规流程中拍照，反馈不良情况及上架</t>
    </r>
  </si>
  <si>
    <r>
      <rPr>
        <sz val="10"/>
        <color rgb="FF000000"/>
        <rFont val="Calibri"/>
        <charset val="134"/>
      </rPr>
      <t>$1</t>
    </r>
    <r>
      <rPr>
        <sz val="10"/>
        <color rgb="FF000000"/>
        <rFont val="宋体"/>
        <charset val="134"/>
      </rPr>
      <t>箱</t>
    </r>
    <r>
      <rPr>
        <sz val="10"/>
        <color rgb="FF000000"/>
        <rFont val="Calibri"/>
        <charset val="134"/>
      </rPr>
      <t>+0.25/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</si>
  <si>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宋体"/>
        <charset val="134"/>
      </rPr>
      <t>退货处理流程包含卸货，理货，外箱简单处理，正规流程中拍照，反馈不良情况及上架</t>
    </r>
  </si>
  <si>
    <r>
      <rPr>
        <sz val="10"/>
        <color rgb="FFFF0000"/>
        <rFont val="Calibri"/>
        <charset val="134"/>
      </rPr>
      <t>$1.2</t>
    </r>
    <r>
      <rPr>
        <sz val="10"/>
        <color rgb="FFFF0000"/>
        <rFont val="宋体"/>
        <charset val="134"/>
      </rPr>
      <t>箱</t>
    </r>
    <r>
      <rPr>
        <sz val="10"/>
        <color rgb="FFFF0000"/>
        <rFont val="Calibri"/>
        <charset val="134"/>
      </rPr>
      <t>+0.3/</t>
    </r>
    <r>
      <rPr>
        <sz val="10"/>
        <color rgb="FFFF0000"/>
        <rFont val="宋体"/>
        <charset val="134"/>
      </rPr>
      <t>件</t>
    </r>
  </si>
  <si>
    <r>
      <rPr>
        <sz val="10"/>
        <color theme="1"/>
        <rFont val="Calibri"/>
        <charset val="134"/>
      </rPr>
      <t>$1.5</t>
    </r>
    <r>
      <rPr>
        <sz val="10"/>
        <color theme="1"/>
        <rFont val="宋体"/>
        <charset val="134"/>
      </rPr>
      <t>箱</t>
    </r>
    <r>
      <rPr>
        <sz val="10"/>
        <color theme="1"/>
        <rFont val="Calibri"/>
        <charset val="134"/>
      </rPr>
      <t>+0.25/PCS</t>
    </r>
    <r>
      <rPr>
        <sz val="10"/>
        <color theme="1"/>
        <rFont val="宋体"/>
        <charset val="134"/>
      </rPr>
      <t>清点费</t>
    </r>
  </si>
  <si>
    <r>
      <rPr>
        <sz val="10"/>
        <color rgb="FFFF0000"/>
        <rFont val="Calibri"/>
        <charset val="134"/>
      </rPr>
      <t>$3/</t>
    </r>
    <r>
      <rPr>
        <sz val="10"/>
        <color rgb="FFFF0000"/>
        <rFont val="宋体"/>
        <charset val="134"/>
      </rPr>
      <t>箱</t>
    </r>
    <r>
      <rPr>
        <sz val="10"/>
        <color rgb="FFFF0000"/>
        <rFont val="Calibri"/>
        <charset val="134"/>
      </rPr>
      <t>+025/pcs</t>
    </r>
  </si>
  <si>
    <t>更换标签费</t>
  </si>
  <si>
    <r>
      <rPr>
        <sz val="10"/>
        <color theme="1"/>
        <rFont val="宋体"/>
        <charset val="134"/>
      </rPr>
      <t>贴标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换标</t>
    </r>
  </si>
  <si>
    <t>pcs</t>
  </si>
  <si>
    <t>清点费</t>
  </si>
  <si>
    <r>
      <rPr>
        <sz val="10"/>
        <color rgb="FF000000"/>
        <rFont val="宋体"/>
        <charset val="134"/>
      </rPr>
      <t>含托盘、拉伸膜等材料费</t>
    </r>
    <r>
      <rPr>
        <sz val="10"/>
        <color rgb="FF000000"/>
        <rFont val="Calibri"/>
        <charset val="134"/>
      </rPr>
      <t>/</t>
    </r>
    <r>
      <rPr>
        <sz val="10"/>
        <color rgb="FF000000"/>
        <rFont val="宋体"/>
        <charset val="134"/>
      </rPr>
      <t>使用</t>
    </r>
    <r>
      <rPr>
        <sz val="10"/>
        <color rgb="FF000000"/>
        <rFont val="Calibri"/>
        <charset val="134"/>
      </rPr>
      <t>LTL</t>
    </r>
    <r>
      <rPr>
        <sz val="10"/>
        <color rgb="FF000000"/>
        <rFont val="宋体"/>
        <charset val="134"/>
      </rPr>
      <t>和</t>
    </r>
    <r>
      <rPr>
        <sz val="10"/>
        <color rgb="FF000000"/>
        <rFont val="Calibri"/>
        <charset val="134"/>
      </rPr>
      <t>TL</t>
    </r>
    <r>
      <rPr>
        <sz val="10"/>
        <color rgb="FF000000"/>
        <rFont val="宋体"/>
        <charset val="134"/>
      </rPr>
      <t>卡车运输时的操作费</t>
    </r>
  </si>
  <si>
    <r>
      <rPr>
        <sz val="10"/>
        <rFont val="宋体"/>
        <charset val="134"/>
      </rPr>
      <t>含托盘、拉伸膜等材料费</t>
    </r>
    <r>
      <rPr>
        <sz val="10"/>
        <rFont val="Calibri"/>
        <charset val="134"/>
      </rPr>
      <t>/</t>
    </r>
    <r>
      <rPr>
        <sz val="10"/>
        <rFont val="宋体"/>
        <charset val="134"/>
      </rPr>
      <t>使用</t>
    </r>
    <r>
      <rPr>
        <sz val="10"/>
        <rFont val="Calibri"/>
        <charset val="134"/>
      </rPr>
      <t>LTL</t>
    </r>
    <r>
      <rPr>
        <sz val="10"/>
        <rFont val="宋体"/>
        <charset val="134"/>
      </rPr>
      <t>和</t>
    </r>
    <r>
      <rPr>
        <sz val="10"/>
        <rFont val="Calibri"/>
        <charset val="134"/>
      </rPr>
      <t>TL</t>
    </r>
    <r>
      <rPr>
        <sz val="10"/>
        <rFont val="宋体"/>
        <charset val="134"/>
      </rPr>
      <t>卡车运输时的操作费</t>
    </r>
  </si>
  <si>
    <r>
      <rPr>
        <sz val="10"/>
        <color rgb="FFFF0000"/>
        <rFont val="宋体"/>
        <charset val="134"/>
      </rPr>
      <t>含托盘、拉伸膜等材料费</t>
    </r>
    <r>
      <rPr>
        <sz val="10"/>
        <color rgb="FFFF0000"/>
        <rFont val="Calibri"/>
        <charset val="134"/>
      </rPr>
      <t>/</t>
    </r>
    <r>
      <rPr>
        <sz val="10"/>
        <color rgb="FFFF0000"/>
        <rFont val="宋体"/>
        <charset val="134"/>
      </rPr>
      <t>使用</t>
    </r>
    <r>
      <rPr>
        <sz val="10"/>
        <color rgb="FFFF0000"/>
        <rFont val="Calibri"/>
        <charset val="134"/>
      </rPr>
      <t>LTL</t>
    </r>
    <r>
      <rPr>
        <sz val="10"/>
        <color rgb="FFFF0000"/>
        <rFont val="宋体"/>
        <charset val="134"/>
      </rPr>
      <t>和</t>
    </r>
    <r>
      <rPr>
        <sz val="10"/>
        <color rgb="FFFF0000"/>
        <rFont val="Calibri"/>
        <charset val="134"/>
      </rPr>
      <t>TL</t>
    </r>
    <r>
      <rPr>
        <sz val="10"/>
        <color rgb="FFFF0000"/>
        <rFont val="宋体"/>
        <charset val="134"/>
      </rPr>
      <t>卡车运输时的操作费</t>
    </r>
  </si>
  <si>
    <t>托盘出库操作费</t>
  </si>
  <si>
    <r>
      <rPr>
        <sz val="10"/>
        <color rgb="FF000000"/>
        <rFont val="宋体"/>
        <charset val="134"/>
      </rPr>
      <t>托盘出库操作费</t>
    </r>
  </si>
  <si>
    <r>
      <rPr>
        <b/>
        <sz val="10"/>
        <color theme="1"/>
        <rFont val="Calibri"/>
        <charset val="134"/>
      </rPr>
      <t>SGFN</t>
    </r>
    <r>
      <rPr>
        <b/>
        <sz val="10"/>
        <color theme="1"/>
        <rFont val="宋体"/>
        <charset val="134"/>
      </rPr>
      <t>存储费用</t>
    </r>
  </si>
  <si>
    <t>CBM/Day</t>
  </si>
  <si>
    <t>仓储</t>
  </si>
  <si>
    <t>0-30 days</t>
  </si>
  <si>
    <r>
      <rPr>
        <sz val="10"/>
        <color rgb="FFFF0000"/>
        <rFont val="宋体"/>
        <charset val="134"/>
      </rPr>
      <t>仓储费</t>
    </r>
    <r>
      <rPr>
        <sz val="10"/>
        <color rgb="FFFF0000"/>
        <rFont val="Calibri"/>
        <charset val="134"/>
      </rPr>
      <t>(</t>
    </r>
    <r>
      <rPr>
        <sz val="10"/>
        <color rgb="FFFF0000"/>
        <rFont val="宋体"/>
        <charset val="134"/>
      </rPr>
      <t>按实际天数计算费用</t>
    </r>
    <r>
      <rPr>
        <sz val="10"/>
        <color rgb="FFFF0000"/>
        <rFont val="Calibri"/>
        <charset val="134"/>
      </rPr>
      <t xml:space="preserve">).Min$0.01
</t>
    </r>
    <r>
      <rPr>
        <sz val="10"/>
        <color rgb="FFFF0000"/>
        <rFont val="宋体"/>
        <charset val="134"/>
      </rPr>
      <t>每个</t>
    </r>
    <r>
      <rPr>
        <sz val="10"/>
        <color rgb="FFFF0000"/>
        <rFont val="Calibri"/>
        <charset val="134"/>
      </rPr>
      <t>sku</t>
    </r>
    <r>
      <rPr>
        <sz val="10"/>
        <color rgb="FFFF0000"/>
        <rFont val="宋体"/>
        <charset val="134"/>
      </rPr>
      <t>每天</t>
    </r>
    <r>
      <rPr>
        <sz val="10"/>
        <color rgb="FFFF0000"/>
        <rFont val="Calibri"/>
        <charset val="134"/>
      </rPr>
      <t>total</t>
    </r>
    <r>
      <rPr>
        <sz val="10"/>
        <color rgb="FFFF0000"/>
        <rFont val="宋体"/>
        <charset val="134"/>
      </rPr>
      <t>数量</t>
    </r>
  </si>
  <si>
    <r>
      <rPr>
        <sz val="10"/>
        <color theme="1"/>
        <rFont val="宋体"/>
        <charset val="134"/>
      </rPr>
      <t>仓储费</t>
    </r>
    <r>
      <rPr>
        <sz val="10"/>
        <color theme="1"/>
        <rFont val="Calibri"/>
        <charset val="134"/>
      </rPr>
      <t>(</t>
    </r>
    <r>
      <rPr>
        <sz val="10"/>
        <color theme="1"/>
        <rFont val="宋体"/>
        <charset val="134"/>
      </rPr>
      <t>按实际天数计算费用</t>
    </r>
    <r>
      <rPr>
        <sz val="10"/>
        <color theme="1"/>
        <rFont val="Calibri"/>
        <charset val="134"/>
      </rPr>
      <t xml:space="preserve">).Min$0.01
</t>
    </r>
    <r>
      <rPr>
        <sz val="10"/>
        <color theme="1"/>
        <rFont val="宋体"/>
        <charset val="134"/>
      </rPr>
      <t>每个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每天</t>
    </r>
    <r>
      <rPr>
        <sz val="10"/>
        <color theme="1"/>
        <rFont val="Calibri"/>
        <charset val="134"/>
      </rPr>
      <t>total</t>
    </r>
    <r>
      <rPr>
        <sz val="10"/>
        <color theme="1"/>
        <rFont val="宋体"/>
        <charset val="134"/>
      </rPr>
      <t>数量</t>
    </r>
  </si>
  <si>
    <r>
      <rPr>
        <sz val="10"/>
        <color rgb="FF000000"/>
        <rFont val="Calibri"/>
        <charset val="134"/>
      </rPr>
      <t>CBM/</t>
    </r>
    <r>
      <rPr>
        <sz val="10"/>
        <color rgb="FF000000"/>
        <rFont val="宋体"/>
        <charset val="134"/>
      </rPr>
      <t>天</t>
    </r>
    <r>
      <rPr>
        <sz val="10"/>
        <color rgb="FF000000"/>
        <rFont val="Calibri"/>
        <charset val="134"/>
      </rPr>
      <t>,</t>
    </r>
    <r>
      <rPr>
        <sz val="10"/>
        <color rgb="FF000000"/>
        <rFont val="宋体"/>
        <charset val="134"/>
      </rPr>
      <t>按天收取每立方米的仓租</t>
    </r>
    <r>
      <rPr>
        <sz val="10"/>
        <color rgb="FF000000"/>
        <rFont val="Calibri"/>
        <charset val="134"/>
      </rPr>
      <t>;</t>
    </r>
  </si>
  <si>
    <r>
      <rPr>
        <sz val="10"/>
        <rFont val="Calibri"/>
        <charset val="134"/>
      </rPr>
      <t>CBM/</t>
    </r>
    <r>
      <rPr>
        <sz val="10"/>
        <rFont val="宋体"/>
        <charset val="134"/>
      </rPr>
      <t>天</t>
    </r>
    <r>
      <rPr>
        <sz val="10"/>
        <rFont val="Calibri"/>
        <charset val="134"/>
      </rPr>
      <t>,</t>
    </r>
    <r>
      <rPr>
        <sz val="10"/>
        <rFont val="宋体"/>
        <charset val="134"/>
      </rPr>
      <t>按天收取每立方米的仓租</t>
    </r>
    <r>
      <rPr>
        <sz val="10"/>
        <rFont val="Calibri"/>
        <charset val="134"/>
      </rPr>
      <t>;</t>
    </r>
  </si>
  <si>
    <r>
      <rPr>
        <sz val="10"/>
        <color theme="1"/>
        <rFont val="宋体"/>
        <charset val="134"/>
      </rPr>
      <t>仓储费（按实际天数计算费用）</t>
    </r>
    <r>
      <rPr>
        <sz val="10"/>
        <color theme="1"/>
        <rFont val="Calibri"/>
        <charset val="134"/>
      </rPr>
      <t xml:space="preserve">:
Min $0.01 </t>
    </r>
    <r>
      <rPr>
        <sz val="10"/>
        <color theme="1"/>
        <rFont val="宋体"/>
        <charset val="134"/>
      </rPr>
      <t>每个</t>
    </r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每天</t>
    </r>
    <r>
      <rPr>
        <sz val="10"/>
        <color theme="1"/>
        <rFont val="Calibri"/>
        <charset val="134"/>
      </rPr>
      <t xml:space="preserve">total </t>
    </r>
    <r>
      <rPr>
        <sz val="10"/>
        <color theme="1"/>
        <rFont val="宋体"/>
        <charset val="134"/>
      </rPr>
      <t>数量</t>
    </r>
  </si>
  <si>
    <t>仓储费（按实际天数计算费用）</t>
  </si>
  <si>
    <t>31-60 days</t>
  </si>
  <si>
    <t>61-90 days</t>
  </si>
  <si>
    <t>91-120 days</t>
  </si>
  <si>
    <t>91-180 days</t>
  </si>
  <si>
    <t>121-180 days</t>
  </si>
  <si>
    <t>&gt;181 days</t>
  </si>
  <si>
    <t>181&lt;</t>
  </si>
  <si>
    <t>181-270 days</t>
  </si>
  <si>
    <t>271-365 days</t>
  </si>
  <si>
    <t>365+</t>
  </si>
  <si>
    <t>增值服务</t>
  </si>
  <si>
    <t>贴标服务</t>
  </si>
  <si>
    <r>
      <rPr>
        <sz val="10"/>
        <color rgb="FF000000"/>
        <rFont val="宋体"/>
        <charset val="134"/>
      </rPr>
      <t>贴标</t>
    </r>
    <r>
      <rPr>
        <sz val="10"/>
        <color rgb="FF000000"/>
        <rFont val="Calibri"/>
        <charset val="134"/>
      </rPr>
      <t>/</t>
    </r>
    <r>
      <rPr>
        <sz val="10"/>
        <color rgb="FF000000"/>
        <rFont val="宋体"/>
        <charset val="134"/>
      </rPr>
      <t>换标</t>
    </r>
  </si>
  <si>
    <r>
      <rPr>
        <sz val="10"/>
        <rFont val="宋体"/>
        <charset val="134"/>
      </rPr>
      <t>贴标</t>
    </r>
    <r>
      <rPr>
        <sz val="10"/>
        <rFont val="Calibri"/>
        <charset val="134"/>
      </rPr>
      <t>/</t>
    </r>
    <r>
      <rPr>
        <sz val="10"/>
        <rFont val="宋体"/>
        <charset val="134"/>
      </rPr>
      <t>换标</t>
    </r>
  </si>
  <si>
    <r>
      <rPr>
        <sz val="10"/>
        <color theme="1"/>
        <rFont val="宋体"/>
        <charset val="134"/>
      </rPr>
      <t>人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小时</t>
    </r>
  </si>
  <si>
    <t>工时费</t>
  </si>
  <si>
    <t>kg</t>
  </si>
  <si>
    <t>库内销毁费</t>
  </si>
  <si>
    <r>
      <rPr>
        <sz val="10"/>
        <color rgb="FF000000"/>
        <rFont val="Calibri"/>
        <charset val="134"/>
      </rPr>
      <t xml:space="preserve">$0.25/kg </t>
    </r>
    <r>
      <rPr>
        <sz val="10"/>
        <color rgb="FF000000"/>
        <rFont val="宋体"/>
        <charset val="134"/>
      </rPr>
      <t>或</t>
    </r>
    <r>
      <rPr>
        <sz val="10"/>
        <color rgb="FF000000"/>
        <rFont val="Calibri"/>
        <charset val="134"/>
      </rPr>
      <t xml:space="preserve"> $0.5/</t>
    </r>
    <r>
      <rPr>
        <sz val="10"/>
        <color rgb="FF000000"/>
        <rFont val="宋体"/>
        <charset val="134"/>
      </rPr>
      <t>件</t>
    </r>
    <r>
      <rPr>
        <sz val="10"/>
        <color rgb="FF000000"/>
        <rFont val="Calibri"/>
        <charset val="134"/>
      </rPr>
      <t>(</t>
    </r>
    <r>
      <rPr>
        <sz val="10"/>
        <color rgb="FF000000"/>
        <rFont val="宋体"/>
        <charset val="134"/>
      </rPr>
      <t>取小值）</t>
    </r>
  </si>
  <si>
    <r>
      <rPr>
        <sz val="10"/>
        <color rgb="FFFF0000"/>
        <rFont val="Calibri"/>
        <charset val="134"/>
      </rPr>
      <t xml:space="preserve">$0.3/kg </t>
    </r>
    <r>
      <rPr>
        <sz val="10"/>
        <color rgb="FFFF0000"/>
        <rFont val="宋体"/>
        <charset val="134"/>
      </rPr>
      <t>或</t>
    </r>
    <r>
      <rPr>
        <sz val="10"/>
        <color rgb="FFFF0000"/>
        <rFont val="Calibri"/>
        <charset val="134"/>
      </rPr>
      <t xml:space="preserve"> $0.6/</t>
    </r>
    <r>
      <rPr>
        <sz val="10"/>
        <color rgb="FFFF0000"/>
        <rFont val="宋体"/>
        <charset val="134"/>
      </rPr>
      <t>件</t>
    </r>
    <r>
      <rPr>
        <sz val="10"/>
        <color rgb="FFFF0000"/>
        <rFont val="Calibri"/>
        <charset val="134"/>
      </rPr>
      <t>(</t>
    </r>
    <r>
      <rPr>
        <sz val="10"/>
        <color rgb="FFFF0000"/>
        <rFont val="宋体"/>
        <charset val="134"/>
      </rPr>
      <t>取小值）</t>
    </r>
  </si>
  <si>
    <r>
      <rPr>
        <sz val="10"/>
        <color theme="1"/>
        <rFont val="宋体"/>
        <charset val="134"/>
      </rPr>
      <t>低消收费</t>
    </r>
    <r>
      <rPr>
        <sz val="10"/>
        <color theme="1"/>
        <rFont val="Calibri"/>
        <charset val="134"/>
      </rPr>
      <t>S50</t>
    </r>
    <r>
      <rPr>
        <sz val="10"/>
        <color theme="1"/>
        <rFont val="宋体"/>
        <charset val="134"/>
      </rPr>
      <t>，集中销毁</t>
    </r>
  </si>
  <si>
    <t>张</t>
  </si>
  <si>
    <t>拍照</t>
  </si>
  <si>
    <t>特殊需求需要拍照的且不再操作流程当中的，Return不收取额外的拍照费用</t>
  </si>
  <si>
    <r>
      <rPr>
        <sz val="10"/>
        <color theme="1"/>
        <rFont val="宋体"/>
        <charset val="134"/>
      </rPr>
      <t>特殊需求需要拍照的且不再操作流程当中的</t>
    </r>
  </si>
  <si>
    <t>SKU</t>
  </si>
  <si>
    <t>复尺</t>
  </si>
  <si>
    <r>
      <rPr>
        <sz val="10"/>
        <color theme="1"/>
        <rFont val="宋体"/>
        <charset val="134"/>
      </rPr>
      <t>非常规流程尺寸测量</t>
    </r>
    <r>
      <rPr>
        <sz val="10"/>
        <color theme="1"/>
        <rFont val="Calibri"/>
        <charset val="134"/>
      </rPr>
      <t xml:space="preserve">..
</t>
    </r>
    <r>
      <rPr>
        <sz val="10"/>
        <color theme="1"/>
        <rFont val="宋体"/>
        <charset val="134"/>
      </rPr>
      <t>复核尺寸</t>
    </r>
    <r>
      <rPr>
        <sz val="10"/>
        <color theme="1"/>
        <rFont val="Calibri"/>
        <charset val="134"/>
      </rPr>
      <t>(</t>
    </r>
    <r>
      <rPr>
        <sz val="10"/>
        <color theme="1"/>
        <rFont val="宋体"/>
        <charset val="134"/>
      </rPr>
      <t>测量标准为</t>
    </r>
    <r>
      <rPr>
        <sz val="10"/>
        <color theme="1"/>
        <rFont val="Calibri"/>
        <charset val="134"/>
      </rPr>
      <t>:</t>
    </r>
    <r>
      <rPr>
        <sz val="10"/>
        <color theme="1"/>
        <rFont val="宋体"/>
        <charset val="134"/>
      </rPr>
      <t>商品的长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宽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高最高点并拍照</t>
    </r>
  </si>
  <si>
    <r>
      <rPr>
        <sz val="10"/>
        <color rgb="FF000000"/>
        <rFont val="宋体"/>
        <charset val="134"/>
      </rPr>
      <t>非常规流程尺寸测量</t>
    </r>
    <r>
      <rPr>
        <sz val="10"/>
        <color rgb="FF000000"/>
        <rFont val="Calibri"/>
        <charset val="134"/>
      </rPr>
      <t xml:space="preserve">..
</t>
    </r>
    <r>
      <rPr>
        <sz val="10"/>
        <color rgb="FF000000"/>
        <rFont val="宋体"/>
        <charset val="134"/>
      </rPr>
      <t>复核尺寸</t>
    </r>
    <r>
      <rPr>
        <sz val="10"/>
        <color rgb="FF000000"/>
        <rFont val="Calibri"/>
        <charset val="134"/>
      </rPr>
      <t>(</t>
    </r>
    <r>
      <rPr>
        <sz val="10"/>
        <color rgb="FF000000"/>
        <rFont val="宋体"/>
        <charset val="134"/>
      </rPr>
      <t>测量标准为</t>
    </r>
    <r>
      <rPr>
        <sz val="10"/>
        <color rgb="FF000000"/>
        <rFont val="Calibri"/>
        <charset val="134"/>
      </rPr>
      <t>:</t>
    </r>
    <r>
      <rPr>
        <sz val="10"/>
        <color rgb="FF000000"/>
        <rFont val="宋体"/>
        <charset val="134"/>
      </rPr>
      <t>商品的长</t>
    </r>
    <r>
      <rPr>
        <sz val="10"/>
        <color rgb="FF000000"/>
        <rFont val="Calibri"/>
        <charset val="134"/>
      </rPr>
      <t>/</t>
    </r>
    <r>
      <rPr>
        <sz val="10"/>
        <color rgb="FF000000"/>
        <rFont val="宋体"/>
        <charset val="134"/>
      </rPr>
      <t>宽</t>
    </r>
    <r>
      <rPr>
        <sz val="10"/>
        <color rgb="FF000000"/>
        <rFont val="Calibri"/>
        <charset val="134"/>
      </rPr>
      <t>/</t>
    </r>
    <r>
      <rPr>
        <sz val="10"/>
        <color rgb="FF000000"/>
        <rFont val="宋体"/>
        <charset val="134"/>
      </rPr>
      <t>高最高点并拍照</t>
    </r>
  </si>
  <si>
    <r>
      <rPr>
        <sz val="10"/>
        <rFont val="宋体"/>
        <charset val="134"/>
      </rPr>
      <t>非常规流程尺寸测量</t>
    </r>
    <r>
      <rPr>
        <sz val="10"/>
        <rFont val="Calibri"/>
        <charset val="134"/>
      </rPr>
      <t xml:space="preserve">..
</t>
    </r>
    <r>
      <rPr>
        <sz val="10"/>
        <rFont val="宋体"/>
        <charset val="134"/>
      </rPr>
      <t>复核尺寸</t>
    </r>
    <r>
      <rPr>
        <sz val="10"/>
        <rFont val="Calibri"/>
        <charset val="134"/>
      </rPr>
      <t>(</t>
    </r>
    <r>
      <rPr>
        <sz val="10"/>
        <rFont val="宋体"/>
        <charset val="134"/>
      </rPr>
      <t>测量标准为</t>
    </r>
    <r>
      <rPr>
        <sz val="10"/>
        <rFont val="Calibri"/>
        <charset val="134"/>
      </rPr>
      <t>:</t>
    </r>
    <r>
      <rPr>
        <sz val="10"/>
        <rFont val="宋体"/>
        <charset val="134"/>
      </rPr>
      <t>商品的长</t>
    </r>
    <r>
      <rPr>
        <sz val="10"/>
        <rFont val="Calibri"/>
        <charset val="134"/>
      </rPr>
      <t>/</t>
    </r>
    <r>
      <rPr>
        <sz val="10"/>
        <rFont val="宋体"/>
        <charset val="134"/>
      </rPr>
      <t>宽</t>
    </r>
    <r>
      <rPr>
        <sz val="10"/>
        <rFont val="Calibri"/>
        <charset val="134"/>
      </rPr>
      <t>/</t>
    </r>
    <r>
      <rPr>
        <sz val="10"/>
        <rFont val="宋体"/>
        <charset val="134"/>
      </rPr>
      <t>高最高点并拍照</t>
    </r>
  </si>
  <si>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尺寸重量有误</t>
    </r>
  </si>
  <si>
    <t>换箱</t>
  </si>
  <si>
    <r>
      <rPr>
        <sz val="10"/>
        <color theme="1"/>
        <rFont val="宋体"/>
        <charset val="134"/>
      </rPr>
      <t>单询</t>
    </r>
  </si>
  <si>
    <r>
      <rPr>
        <sz val="10"/>
        <color rgb="FF000000"/>
        <rFont val="宋体"/>
        <charset val="134"/>
      </rPr>
      <t>单询</t>
    </r>
  </si>
  <si>
    <t>单询</t>
  </si>
  <si>
    <t>件</t>
  </si>
  <si>
    <t>库存盘点</t>
  </si>
  <si>
    <r>
      <rPr>
        <sz val="10"/>
        <color theme="1"/>
        <rFont val="宋体"/>
        <charset val="134"/>
      </rPr>
      <t>非常规流程盘点</t>
    </r>
    <r>
      <rPr>
        <sz val="10"/>
        <color theme="1"/>
        <rFont val="Calibri"/>
        <charset val="134"/>
      </rPr>
      <t xml:space="preserve">---
</t>
    </r>
    <r>
      <rPr>
        <sz val="10"/>
        <color theme="1"/>
        <rFont val="宋体"/>
        <charset val="134"/>
      </rPr>
      <t>正常收货，尾数，库存管理出现问题时逻辑中的盘点需求不计算在内</t>
    </r>
  </si>
  <si>
    <r>
      <rPr>
        <sz val="10"/>
        <color rgb="FF000000"/>
        <rFont val="宋体"/>
        <charset val="134"/>
      </rPr>
      <t>非常规流程盘点</t>
    </r>
    <r>
      <rPr>
        <sz val="10"/>
        <color rgb="FF000000"/>
        <rFont val="Calibri"/>
        <charset val="134"/>
      </rPr>
      <t xml:space="preserve">---
</t>
    </r>
    <r>
      <rPr>
        <sz val="10"/>
        <color rgb="FF000000"/>
        <rFont val="宋体"/>
        <charset val="134"/>
      </rPr>
      <t>正常收货，尾数，库存管理出现问题时逻辑中的盘点需求不计算在内</t>
    </r>
  </si>
  <si>
    <t>shipment</t>
  </si>
  <si>
    <r>
      <rPr>
        <sz val="10"/>
        <color theme="1"/>
        <rFont val="宋体"/>
        <charset val="134"/>
      </rPr>
      <t>尾程拦截改派</t>
    </r>
    <r>
      <rPr>
        <sz val="10"/>
        <color theme="1"/>
        <rFont val="Calibri"/>
        <charset val="134"/>
      </rPr>
      <t>/</t>
    </r>
    <r>
      <rPr>
        <sz val="10"/>
        <color theme="1"/>
        <rFont val="宋体"/>
        <charset val="134"/>
      </rPr>
      <t>异常订单处理</t>
    </r>
  </si>
  <si>
    <t>库内订单拦截</t>
  </si>
  <si>
    <r>
      <rPr>
        <sz val="10"/>
        <color theme="1"/>
        <rFont val="Calibri"/>
        <charset val="134"/>
      </rPr>
      <t>2</t>
    </r>
    <r>
      <rPr>
        <sz val="10"/>
        <color theme="1"/>
        <rFont val="宋体"/>
        <charset val="134"/>
      </rPr>
      <t>倍原订单</t>
    </r>
  </si>
  <si>
    <r>
      <rPr>
        <sz val="10"/>
        <color rgb="FF000000"/>
        <rFont val="Calibri"/>
        <charset val="134"/>
      </rPr>
      <t>2</t>
    </r>
    <r>
      <rPr>
        <sz val="10"/>
        <color rgb="FF000000"/>
        <rFont val="宋体"/>
        <charset val="134"/>
      </rPr>
      <t>倍原订单</t>
    </r>
  </si>
  <si>
    <t>2倍原订单</t>
  </si>
  <si>
    <t>托盘耗损费用（ONT2）根据实际发货使用数量计算托盘费用</t>
  </si>
  <si>
    <r>
      <rPr>
        <sz val="10"/>
        <color rgb="FFFF0000"/>
        <rFont val="宋体"/>
        <charset val="134"/>
      </rPr>
      <t>已做物理隔离</t>
    </r>
    <r>
      <rPr>
        <sz val="10"/>
        <color rgb="FFFF0000"/>
        <rFont val="Calibri"/>
        <charset val="134"/>
      </rPr>
      <t xml:space="preserve">$5/SKU
</t>
    </r>
    <r>
      <rPr>
        <sz val="10"/>
        <color rgb="FFFF0000"/>
        <rFont val="宋体"/>
        <charset val="134"/>
      </rPr>
      <t>未做物理隔离：</t>
    </r>
    <r>
      <rPr>
        <sz val="10"/>
        <color rgb="FFFF0000"/>
        <rFont val="Calibri"/>
        <charset val="134"/>
      </rPr>
      <t>$30/</t>
    </r>
    <r>
      <rPr>
        <sz val="10"/>
        <color rgb="FFFF0000"/>
        <rFont val="宋体"/>
        <charset val="134"/>
      </rPr>
      <t>人</t>
    </r>
    <r>
      <rPr>
        <sz val="10"/>
        <color rgb="FFFF0000"/>
        <rFont val="Calibri"/>
        <charset val="134"/>
      </rPr>
      <t>/</t>
    </r>
    <r>
      <rPr>
        <sz val="10"/>
        <color rgb="FFFF0000"/>
        <rFont val="宋体"/>
        <charset val="134"/>
      </rPr>
      <t>时</t>
    </r>
  </si>
  <si>
    <t>ONT3混箱</t>
  </si>
  <si>
    <t>一箱多件按实际工时收取理货费</t>
  </si>
  <si>
    <t>托盘耗损费用，根据实际发货使用数量计算托盘费用</t>
  </si>
  <si>
    <t>仓库</t>
  </si>
  <si>
    <t>合同开始日</t>
  </si>
  <si>
    <t>合同到期日</t>
  </si>
  <si>
    <t>有效期</t>
  </si>
  <si>
    <t>备注</t>
  </si>
  <si>
    <t>ONT1</t>
  </si>
  <si>
    <t>无</t>
  </si>
  <si>
    <t>ONT2</t>
  </si>
  <si>
    <t>两年</t>
  </si>
  <si>
    <t>ONT3</t>
  </si>
  <si>
    <t>一年</t>
  </si>
  <si>
    <t>此后每年自动续期1年，除非在到期日前提前60天向另一方提交终止协议</t>
  </si>
  <si>
    <t>ONT4</t>
  </si>
  <si>
    <t>IAH1</t>
  </si>
  <si>
    <t>IAH2</t>
  </si>
  <si>
    <t>SAV1</t>
  </si>
  <si>
    <t>ATL1</t>
  </si>
  <si>
    <t>我这没合同，报价上未体现合同终止日期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</si>
</sst>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400]h:mm:ss\ AM/PM"/>
    <numFmt numFmtId="177" formatCode="\$#,##0.00;\-\$#,##0.00"/>
  </numFmts>
  <fonts count="48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b/>
      <sz val="11"/>
      <color rgb="FF000000"/>
      <name val="微软雅黑"/>
      <charset val="134"/>
    </font>
    <font>
      <b/>
      <sz val="11"/>
      <color rgb="FF000000"/>
      <name val="Calibri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b/>
      <sz val="10"/>
      <color theme="1"/>
      <name val="Calibri"/>
      <charset val="134"/>
    </font>
    <font>
      <sz val="10"/>
      <color rgb="FFFF0000"/>
      <name val="Calibri"/>
      <charset val="134"/>
    </font>
    <font>
      <sz val="10"/>
      <name val="Calibri"/>
      <charset val="134"/>
    </font>
    <font>
      <sz val="10"/>
      <color rgb="FFFF0000"/>
      <name val="宋体"/>
      <charset val="134"/>
    </font>
    <font>
      <b/>
      <sz val="11"/>
      <color rgb="FF000000"/>
      <name val="宋体"/>
      <charset val="134"/>
    </font>
    <font>
      <sz val="10"/>
      <color rgb="FF000000"/>
      <name val="Calibri"/>
      <charset val="134"/>
    </font>
    <font>
      <sz val="10"/>
      <color rgb="FF000000"/>
      <name val="宋体"/>
      <charset val="134"/>
    </font>
    <font>
      <sz val="9"/>
      <color rgb="FF000000"/>
      <name val="Calibri"/>
      <charset val="134"/>
    </font>
    <font>
      <sz val="9"/>
      <color rgb="FFFF0000"/>
      <name val="Calibri"/>
      <charset val="134"/>
    </font>
    <font>
      <sz val="9"/>
      <name val="Calibri"/>
      <charset val="134"/>
    </font>
    <font>
      <sz val="9"/>
      <color rgb="FF000000"/>
      <name val="微软雅黑"/>
      <charset val="134"/>
    </font>
    <font>
      <b/>
      <sz val="11"/>
      <color theme="1"/>
      <name val="宋体"/>
      <charset val="134"/>
    </font>
    <font>
      <sz val="9"/>
      <name val="微软雅黑"/>
      <charset val="134"/>
    </font>
    <font>
      <sz val="9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theme="10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rgb="FFFF000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theme="1" tint="0.05"/>
      </top>
      <bottom/>
      <diagonal/>
    </border>
    <border>
      <left style="thin">
        <color auto="1"/>
      </left>
      <right/>
      <top style="medium">
        <color theme="1" tint="0.05"/>
      </top>
      <bottom/>
      <diagonal/>
    </border>
    <border>
      <left style="thin">
        <color auto="1"/>
      </left>
      <right style="medium">
        <color auto="1"/>
      </right>
      <top style="medium">
        <color theme="1" tint="0.05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 tint="0.05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4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30" fillId="0" borderId="42" applyNumberFormat="0" applyFill="0" applyAlignment="0" applyProtection="0">
      <alignment vertical="center"/>
    </xf>
    <xf numFmtId="0" fontId="31" fillId="0" borderId="4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1" borderId="44" applyNumberFormat="0" applyAlignment="0" applyProtection="0">
      <alignment vertical="center"/>
    </xf>
    <xf numFmtId="0" fontId="33" fillId="12" borderId="45" applyNumberFormat="0" applyAlignment="0" applyProtection="0">
      <alignment vertical="center"/>
    </xf>
    <xf numFmtId="0" fontId="34" fillId="12" borderId="44" applyNumberFormat="0" applyAlignment="0" applyProtection="0">
      <alignment vertical="center"/>
    </xf>
    <xf numFmtId="0" fontId="35" fillId="13" borderId="46" applyNumberFormat="0" applyAlignment="0" applyProtection="0">
      <alignment vertical="center"/>
    </xf>
    <xf numFmtId="0" fontId="36" fillId="0" borderId="47" applyNumberFormat="0" applyFill="0" applyAlignment="0" applyProtection="0">
      <alignment vertical="center"/>
    </xf>
    <xf numFmtId="0" fontId="37" fillId="0" borderId="48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76" fontId="44" fillId="0" borderId="0">
      <alignment vertical="center"/>
    </xf>
    <xf numFmtId="176" fontId="0" fillId="0" borderId="0"/>
    <xf numFmtId="176" fontId="0" fillId="0" borderId="0"/>
    <xf numFmtId="176" fontId="0" fillId="0" borderId="0"/>
    <xf numFmtId="43" fontId="0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176" fontId="0" fillId="0" borderId="0"/>
    <xf numFmtId="176" fontId="45" fillId="0" borderId="0" applyNumberFormat="0" applyFill="0" applyBorder="0" applyAlignment="0" applyProtection="0">
      <alignment vertical="center"/>
    </xf>
    <xf numFmtId="176" fontId="0" fillId="0" borderId="0"/>
    <xf numFmtId="43" fontId="0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5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177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177" fontId="6" fillId="2" borderId="4" xfId="0" applyNumberFormat="1" applyFont="1" applyFill="1" applyBorder="1" applyAlignment="1" applyProtection="1">
      <alignment horizontal="center" vertical="center" wrapText="1"/>
    </xf>
    <xf numFmtId="177" fontId="6" fillId="2" borderId="5" xfId="0" applyNumberFormat="1" applyFont="1" applyFill="1" applyBorder="1" applyAlignment="1" applyProtection="1">
      <alignment horizontal="center" vertical="center" wrapText="1"/>
    </xf>
    <xf numFmtId="177" fontId="6" fillId="2" borderId="6" xfId="0" applyNumberFormat="1" applyFont="1" applyFill="1" applyBorder="1" applyAlignment="1" applyProtection="1">
      <alignment horizontal="center" vertical="center" wrapText="1"/>
    </xf>
    <xf numFmtId="177" fontId="6" fillId="0" borderId="0" xfId="0" applyNumberFormat="1" applyFont="1" applyFill="1" applyBorder="1" applyAlignment="1" applyProtection="1">
      <alignment horizontal="center" vertical="center" wrapText="1"/>
    </xf>
    <xf numFmtId="177" fontId="6" fillId="3" borderId="4" xfId="0" applyNumberFormat="1" applyFont="1" applyFill="1" applyBorder="1" applyAlignment="1" applyProtection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177" fontId="4" fillId="0" borderId="10" xfId="0" applyNumberFormat="1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0" fillId="0" borderId="13" xfId="0" applyFont="1" applyFill="1" applyBorder="1" applyAlignment="1">
      <alignment horizontal="left" vertical="center" wrapText="1"/>
    </xf>
    <xf numFmtId="177" fontId="11" fillId="4" borderId="14" xfId="0" applyNumberFormat="1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177" fontId="4" fillId="0" borderId="7" xfId="0" applyNumberFormat="1" applyFont="1" applyFill="1" applyBorder="1" applyAlignment="1">
      <alignment horizontal="left" vertical="center"/>
    </xf>
    <xf numFmtId="177" fontId="4" fillId="0" borderId="14" xfId="0" applyNumberFormat="1" applyFont="1" applyFill="1" applyBorder="1" applyAlignment="1">
      <alignment horizontal="left" vertical="center"/>
    </xf>
    <xf numFmtId="0" fontId="8" fillId="0" borderId="15" xfId="0" applyFont="1" applyFill="1" applyBorder="1" applyAlignment="1">
      <alignment horizontal="left" vertical="center" wrapText="1"/>
    </xf>
    <xf numFmtId="177" fontId="4" fillId="0" borderId="14" xfId="0" applyNumberFormat="1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177" fontId="11" fillId="4" borderId="14" xfId="0" applyNumberFormat="1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horizontal="left" vertical="center" wrapText="1"/>
    </xf>
    <xf numFmtId="0" fontId="8" fillId="0" borderId="17" xfId="0" applyFont="1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left" vertical="center" wrapText="1"/>
    </xf>
    <xf numFmtId="0" fontId="4" fillId="0" borderId="19" xfId="0" applyFont="1" applyFill="1" applyBorder="1" applyAlignment="1">
      <alignment horizontal="left" vertical="center" wrapText="1"/>
    </xf>
    <xf numFmtId="0" fontId="8" fillId="0" borderId="20" xfId="0" applyFont="1" applyFill="1" applyBorder="1" applyAlignment="1">
      <alignment horizontal="left" vertical="center" wrapText="1"/>
    </xf>
    <xf numFmtId="0" fontId="4" fillId="0" borderId="21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177" fontId="11" fillId="0" borderId="14" xfId="0" applyNumberFormat="1" applyFont="1" applyFill="1" applyBorder="1" applyAlignment="1">
      <alignment horizontal="left" vertical="center"/>
    </xf>
    <xf numFmtId="0" fontId="4" fillId="0" borderId="11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177" fontId="12" fillId="0" borderId="14" xfId="0" applyNumberFormat="1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left" vertical="center" wrapText="1"/>
    </xf>
    <xf numFmtId="0" fontId="4" fillId="0" borderId="16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 applyProtection="1">
      <alignment horizontal="left" vertical="center"/>
    </xf>
    <xf numFmtId="0" fontId="13" fillId="0" borderId="9" xfId="0" applyFont="1" applyFill="1" applyBorder="1" applyAlignment="1" applyProtection="1">
      <alignment horizontal="left" vertical="center" wrapText="1"/>
    </xf>
    <xf numFmtId="177" fontId="11" fillId="0" borderId="7" xfId="0" applyNumberFormat="1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 wrapText="1"/>
    </xf>
    <xf numFmtId="177" fontId="11" fillId="0" borderId="13" xfId="0" applyNumberFormat="1" applyFont="1" applyFill="1" applyBorder="1" applyAlignment="1">
      <alignment horizontal="left" vertical="center"/>
    </xf>
    <xf numFmtId="0" fontId="11" fillId="0" borderId="15" xfId="0" applyFont="1" applyFill="1" applyBorder="1" applyAlignment="1">
      <alignment horizontal="left" vertical="center" wrapText="1"/>
    </xf>
    <xf numFmtId="177" fontId="11" fillId="0" borderId="10" xfId="0" applyNumberFormat="1" applyFont="1" applyFill="1" applyBorder="1" applyAlignment="1">
      <alignment horizontal="left" vertical="center"/>
    </xf>
    <xf numFmtId="0" fontId="8" fillId="0" borderId="25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10" fillId="0" borderId="14" xfId="0" applyFont="1" applyFill="1" applyBorder="1" applyAlignment="1">
      <alignment horizontal="left" vertical="center" wrapText="1"/>
    </xf>
    <xf numFmtId="177" fontId="4" fillId="0" borderId="26" xfId="0" applyNumberFormat="1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 wrapText="1"/>
    </xf>
    <xf numFmtId="0" fontId="4" fillId="0" borderId="28" xfId="0" applyFont="1" applyFill="1" applyBorder="1" applyAlignment="1">
      <alignment horizontal="left" vertical="center" wrapText="1"/>
    </xf>
    <xf numFmtId="0" fontId="4" fillId="0" borderId="26" xfId="0" applyFont="1" applyFill="1" applyBorder="1" applyAlignment="1">
      <alignment horizontal="left" vertical="center" wrapText="1"/>
    </xf>
    <xf numFmtId="0" fontId="8" fillId="0" borderId="28" xfId="0" applyFont="1" applyFill="1" applyBorder="1" applyAlignment="1">
      <alignment horizontal="left" vertical="center" wrapText="1"/>
    </xf>
    <xf numFmtId="177" fontId="11" fillId="4" borderId="26" xfId="0" applyNumberFormat="1" applyFont="1" applyFill="1" applyBorder="1" applyAlignment="1">
      <alignment horizontal="left" vertical="center"/>
    </xf>
    <xf numFmtId="177" fontId="6" fillId="3" borderId="5" xfId="0" applyNumberFormat="1" applyFont="1" applyFill="1" applyBorder="1" applyAlignment="1" applyProtection="1">
      <alignment horizontal="center" vertical="center" wrapText="1"/>
    </xf>
    <xf numFmtId="177" fontId="6" fillId="3" borderId="6" xfId="0" applyNumberFormat="1" applyFont="1" applyFill="1" applyBorder="1" applyAlignment="1" applyProtection="1">
      <alignment horizontal="center" vertical="center" wrapText="1"/>
    </xf>
    <xf numFmtId="177" fontId="3" fillId="0" borderId="0" xfId="0" applyNumberFormat="1" applyFont="1" applyFill="1" applyBorder="1" applyAlignment="1">
      <alignment horizontal="center" vertical="center" wrapText="1"/>
    </xf>
    <xf numFmtId="177" fontId="14" fillId="5" borderId="29" xfId="0" applyNumberFormat="1" applyFont="1" applyFill="1" applyBorder="1" applyAlignment="1" applyProtection="1">
      <alignment horizontal="center" vertical="center" wrapText="1"/>
    </xf>
    <xf numFmtId="177" fontId="14" fillId="5" borderId="30" xfId="0" applyNumberFormat="1" applyFont="1" applyFill="1" applyBorder="1" applyAlignment="1" applyProtection="1">
      <alignment horizontal="center" vertical="center" wrapText="1"/>
    </xf>
    <xf numFmtId="177" fontId="14" fillId="5" borderId="31" xfId="0" applyNumberFormat="1" applyFont="1" applyFill="1" applyBorder="1" applyAlignment="1" applyProtection="1">
      <alignment horizontal="center" vertical="center" wrapText="1"/>
    </xf>
    <xf numFmtId="177" fontId="14" fillId="0" borderId="0" xfId="0" applyNumberFormat="1" applyFont="1" applyFill="1" applyBorder="1" applyAlignment="1" applyProtection="1">
      <alignment horizontal="center" vertical="center" wrapText="1"/>
    </xf>
    <xf numFmtId="177" fontId="14" fillId="6" borderId="32" xfId="0" applyNumberFormat="1" applyFont="1" applyFill="1" applyBorder="1" applyAlignment="1" applyProtection="1">
      <alignment horizontal="center" vertical="center" wrapText="1"/>
    </xf>
    <xf numFmtId="0" fontId="13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177" fontId="15" fillId="0" borderId="32" xfId="0" applyNumberFormat="1" applyFont="1" applyFill="1" applyBorder="1" applyAlignment="1" applyProtection="1">
      <alignment horizontal="left" vertical="center"/>
    </xf>
    <xf numFmtId="0" fontId="15" fillId="0" borderId="33" xfId="0" applyFont="1" applyFill="1" applyBorder="1" applyAlignment="1" applyProtection="1">
      <alignment horizontal="left" vertical="center"/>
    </xf>
    <xf numFmtId="0" fontId="15" fillId="0" borderId="3" xfId="0" applyFont="1" applyFill="1" applyBorder="1" applyAlignment="1" applyProtection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</xf>
    <xf numFmtId="177" fontId="11" fillId="0" borderId="14" xfId="0" applyNumberFormat="1" applyFont="1" applyFill="1" applyBorder="1" applyAlignment="1" applyProtection="1">
      <alignment horizontal="left" vertical="center"/>
    </xf>
    <xf numFmtId="0" fontId="8" fillId="0" borderId="11" xfId="0" applyFont="1" applyFill="1" applyBorder="1" applyAlignment="1">
      <alignment horizontal="left" vertical="center" wrapText="1"/>
    </xf>
    <xf numFmtId="177" fontId="15" fillId="0" borderId="14" xfId="0" applyNumberFormat="1" applyFont="1" applyFill="1" applyBorder="1" applyAlignment="1" applyProtection="1">
      <alignment horizontal="left" vertical="center"/>
    </xf>
    <xf numFmtId="0" fontId="15" fillId="0" borderId="15" xfId="0" applyFont="1" applyFill="1" applyBorder="1" applyAlignment="1" applyProtection="1">
      <alignment horizontal="left" vertical="center" wrapText="1"/>
    </xf>
    <xf numFmtId="0" fontId="15" fillId="0" borderId="9" xfId="0" applyFont="1" applyFill="1" applyBorder="1" applyAlignment="1" applyProtection="1">
      <alignment horizontal="left" vertical="center" wrapText="1"/>
    </xf>
    <xf numFmtId="0" fontId="15" fillId="0" borderId="0" xfId="0" applyFont="1" applyFill="1" applyBorder="1" applyAlignment="1" applyProtection="1">
      <alignment horizontal="left" vertical="center" wrapText="1"/>
    </xf>
    <xf numFmtId="0" fontId="15" fillId="0" borderId="14" xfId="0" applyFont="1" applyFill="1" applyBorder="1" applyAlignment="1" applyProtection="1">
      <alignment horizontal="left" vertical="center"/>
    </xf>
    <xf numFmtId="0" fontId="16" fillId="0" borderId="15" xfId="0" applyFont="1" applyFill="1" applyBorder="1" applyAlignment="1" applyProtection="1">
      <alignment horizontal="left" vertical="center" wrapText="1"/>
    </xf>
    <xf numFmtId="0" fontId="16" fillId="0" borderId="9" xfId="0" applyFont="1" applyFill="1" applyBorder="1" applyAlignment="1" applyProtection="1">
      <alignment horizontal="left" vertical="center" wrapText="1"/>
    </xf>
    <xf numFmtId="0" fontId="16" fillId="0" borderId="0" xfId="0" applyFont="1" applyFill="1" applyBorder="1" applyAlignment="1" applyProtection="1">
      <alignment horizontal="left" vertical="center" wrapText="1"/>
    </xf>
    <xf numFmtId="177" fontId="15" fillId="0" borderId="14" xfId="0" applyNumberFormat="1" applyFont="1" applyFill="1" applyBorder="1" applyAlignment="1" applyProtection="1">
      <alignment horizontal="left" vertical="center" wrapText="1"/>
    </xf>
    <xf numFmtId="177" fontId="11" fillId="0" borderId="14" xfId="0" applyNumberFormat="1" applyFont="1" applyFill="1" applyBorder="1" applyAlignment="1" applyProtection="1">
      <alignment horizontal="left" vertical="center" wrapText="1"/>
    </xf>
    <xf numFmtId="0" fontId="8" fillId="0" borderId="22" xfId="0" applyFont="1" applyFill="1" applyBorder="1" applyAlignment="1">
      <alignment horizontal="left" vertical="center" wrapText="1"/>
    </xf>
    <xf numFmtId="0" fontId="8" fillId="0" borderId="34" xfId="0" applyFont="1" applyFill="1" applyBorder="1" applyAlignment="1">
      <alignment horizontal="left" vertical="center" wrapText="1"/>
    </xf>
    <xf numFmtId="177" fontId="12" fillId="0" borderId="14" xfId="0" applyNumberFormat="1" applyFont="1" applyFill="1" applyBorder="1" applyAlignment="1" applyProtection="1">
      <alignment horizontal="left" vertical="center"/>
    </xf>
    <xf numFmtId="0" fontId="15" fillId="0" borderId="15" xfId="0" applyFont="1" applyFill="1" applyBorder="1" applyAlignment="1" applyProtection="1">
      <alignment horizontal="left" vertical="center"/>
    </xf>
    <xf numFmtId="0" fontId="15" fillId="0" borderId="9" xfId="0" applyFont="1" applyFill="1" applyBorder="1" applyAlignment="1" applyProtection="1">
      <alignment horizontal="left" vertical="center"/>
    </xf>
    <xf numFmtId="0" fontId="12" fillId="0" borderId="14" xfId="0" applyFont="1" applyFill="1" applyBorder="1" applyAlignment="1" applyProtection="1">
      <alignment horizontal="left" vertical="center"/>
    </xf>
    <xf numFmtId="0" fontId="4" fillId="0" borderId="15" xfId="0" applyFont="1" applyFill="1" applyBorder="1" applyAlignment="1">
      <alignment horizontal="left" vertical="center"/>
    </xf>
    <xf numFmtId="0" fontId="17" fillId="0" borderId="15" xfId="0" applyFont="1" applyFill="1" applyBorder="1" applyAlignment="1" applyProtection="1">
      <alignment horizontal="left"/>
    </xf>
    <xf numFmtId="177" fontId="11" fillId="4" borderId="14" xfId="0" applyNumberFormat="1" applyFont="1" applyFill="1" applyBorder="1" applyAlignment="1" applyProtection="1">
      <alignment horizontal="left" vertical="center"/>
    </xf>
    <xf numFmtId="0" fontId="17" fillId="0" borderId="15" xfId="0" applyFont="1" applyFill="1" applyBorder="1" applyAlignment="1" applyProtection="1">
      <alignment horizontal="left" vertical="center"/>
    </xf>
    <xf numFmtId="0" fontId="4" fillId="0" borderId="35" xfId="0" applyFont="1" applyFill="1" applyBorder="1" applyAlignment="1">
      <alignment horizontal="left" vertical="center" wrapText="1"/>
    </xf>
    <xf numFmtId="0" fontId="4" fillId="0" borderId="34" xfId="0" applyFont="1" applyFill="1" applyBorder="1" applyAlignment="1">
      <alignment horizontal="left" vertical="center" wrapText="1"/>
    </xf>
    <xf numFmtId="0" fontId="11" fillId="0" borderId="14" xfId="0" applyFont="1" applyFill="1" applyBorder="1" applyAlignment="1" applyProtection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177" fontId="18" fillId="0" borderId="14" xfId="0" applyNumberFormat="1" applyFont="1" applyFill="1" applyBorder="1" applyAlignment="1" applyProtection="1">
      <alignment horizontal="left" vertical="center"/>
    </xf>
    <xf numFmtId="177" fontId="19" fillId="0" borderId="14" xfId="0" applyNumberFormat="1" applyFont="1" applyFill="1" applyBorder="1" applyAlignment="1" applyProtection="1">
      <alignment horizontal="left" vertical="center"/>
    </xf>
    <xf numFmtId="0" fontId="4" fillId="0" borderId="12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/>
    </xf>
    <xf numFmtId="26" fontId="20" fillId="0" borderId="15" xfId="0" applyNumberFormat="1" applyFont="1" applyFill="1" applyBorder="1" applyAlignment="1" applyProtection="1">
      <alignment horizontal="left" vertical="center" wrapText="1"/>
    </xf>
    <xf numFmtId="26" fontId="20" fillId="0" borderId="9" xfId="0" applyNumberFormat="1" applyFont="1" applyFill="1" applyBorder="1" applyAlignment="1" applyProtection="1">
      <alignment horizontal="left" vertical="center" wrapText="1"/>
    </xf>
    <xf numFmtId="26" fontId="20" fillId="0" borderId="0" xfId="0" applyNumberFormat="1" applyFont="1" applyFill="1" applyBorder="1" applyAlignment="1" applyProtection="1">
      <alignment horizontal="left" vertical="center" wrapText="1"/>
    </xf>
    <xf numFmtId="177" fontId="17" fillId="0" borderId="14" xfId="0" applyNumberFormat="1" applyFont="1" applyFill="1" applyBorder="1" applyAlignment="1" applyProtection="1">
      <alignment horizontal="left" vertical="center" wrapText="1"/>
    </xf>
    <xf numFmtId="177" fontId="15" fillId="0" borderId="26" xfId="0" applyNumberFormat="1" applyFont="1" applyFill="1" applyBorder="1" applyAlignment="1" applyProtection="1">
      <alignment horizontal="left" vertical="center"/>
    </xf>
    <xf numFmtId="0" fontId="15" fillId="0" borderId="27" xfId="0" applyFont="1" applyFill="1" applyBorder="1" applyAlignment="1" applyProtection="1">
      <alignment horizontal="left" vertical="center"/>
    </xf>
    <xf numFmtId="0" fontId="15" fillId="0" borderId="28" xfId="0" applyFont="1" applyFill="1" applyBorder="1" applyAlignment="1" applyProtection="1">
      <alignment horizontal="left" vertical="center"/>
    </xf>
    <xf numFmtId="0" fontId="8" fillId="0" borderId="36" xfId="0" applyFont="1" applyFill="1" applyBorder="1" applyAlignment="1">
      <alignment horizontal="left" vertical="center" wrapText="1"/>
    </xf>
    <xf numFmtId="0" fontId="4" fillId="0" borderId="37" xfId="0" applyFont="1" applyFill="1" applyBorder="1" applyAlignment="1">
      <alignment horizontal="left" vertical="center" wrapText="1"/>
    </xf>
    <xf numFmtId="0" fontId="13" fillId="0" borderId="38" xfId="0" applyFont="1" applyFill="1" applyBorder="1" applyAlignment="1">
      <alignment horizontal="left" vertical="center" wrapText="1"/>
    </xf>
    <xf numFmtId="177" fontId="14" fillId="6" borderId="33" xfId="0" applyNumberFormat="1" applyFont="1" applyFill="1" applyBorder="1" applyAlignment="1" applyProtection="1">
      <alignment horizontal="center" vertical="center" wrapText="1"/>
    </xf>
    <xf numFmtId="177" fontId="14" fillId="6" borderId="3" xfId="0" applyNumberFormat="1" applyFont="1" applyFill="1" applyBorder="1" applyAlignment="1" applyProtection="1">
      <alignment horizontal="center" vertical="center" wrapText="1"/>
    </xf>
    <xf numFmtId="177" fontId="3" fillId="7" borderId="1" xfId="0" applyNumberFormat="1" applyFont="1" applyFill="1" applyBorder="1" applyAlignment="1">
      <alignment horizontal="center" vertical="center" wrapText="1"/>
    </xf>
    <xf numFmtId="177" fontId="3" fillId="7" borderId="39" xfId="0" applyNumberFormat="1" applyFont="1" applyFill="1" applyBorder="1" applyAlignment="1">
      <alignment horizontal="center" vertical="center" wrapText="1"/>
    </xf>
    <xf numFmtId="177" fontId="3" fillId="7" borderId="40" xfId="0" applyNumberFormat="1" applyFont="1" applyFill="1" applyBorder="1" applyAlignment="1">
      <alignment horizontal="center" vertical="center" wrapText="1"/>
    </xf>
    <xf numFmtId="177" fontId="21" fillId="0" borderId="0" xfId="0" applyNumberFormat="1" applyFont="1" applyFill="1" applyAlignment="1">
      <alignment horizontal="center" vertical="center" wrapText="1"/>
    </xf>
    <xf numFmtId="177" fontId="3" fillId="8" borderId="32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 applyProtection="1">
      <alignment horizontal="left" vertical="center"/>
    </xf>
    <xf numFmtId="0" fontId="12" fillId="0" borderId="9" xfId="0" applyFont="1" applyFill="1" applyBorder="1" applyAlignment="1" applyProtection="1">
      <alignment horizontal="left" vertical="center"/>
    </xf>
    <xf numFmtId="0" fontId="9" fillId="0" borderId="15" xfId="0" applyFont="1" applyFill="1" applyBorder="1" applyAlignment="1" applyProtection="1">
      <alignment horizontal="left" vertical="center" wrapText="1"/>
    </xf>
    <xf numFmtId="0" fontId="9" fillId="0" borderId="9" xfId="0" applyFont="1" applyFill="1" applyBorder="1" applyAlignment="1" applyProtection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1" fillId="0" borderId="23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/>
    </xf>
    <xf numFmtId="177" fontId="18" fillId="0" borderId="14" xfId="49" applyNumberFormat="1" applyFont="1" applyFill="1" applyBorder="1" applyAlignment="1">
      <alignment horizontal="left" vertical="center" wrapText="1"/>
    </xf>
    <xf numFmtId="26" fontId="22" fillId="0" borderId="15" xfId="0" applyNumberFormat="1" applyFont="1" applyFill="1" applyBorder="1" applyAlignment="1" applyProtection="1">
      <alignment horizontal="left" vertical="center" wrapText="1"/>
    </xf>
    <xf numFmtId="26" fontId="22" fillId="0" borderId="9" xfId="0" applyNumberFormat="1" applyFont="1" applyFill="1" applyBorder="1" applyAlignment="1" applyProtection="1">
      <alignment horizontal="left" vertical="center" wrapText="1"/>
    </xf>
    <xf numFmtId="0" fontId="4" fillId="0" borderId="9" xfId="0" applyFont="1" applyFill="1" applyBorder="1" applyAlignment="1">
      <alignment horizontal="left" vertical="center"/>
    </xf>
    <xf numFmtId="177" fontId="18" fillId="4" borderId="14" xfId="50" applyNumberFormat="1" applyFont="1" applyFill="1" applyBorder="1" applyAlignment="1">
      <alignment horizontal="left" vertical="center"/>
    </xf>
    <xf numFmtId="177" fontId="23" fillId="0" borderId="14" xfId="50" applyNumberFormat="1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0" fontId="4" fillId="0" borderId="23" xfId="0" applyFont="1" applyFill="1" applyBorder="1" applyAlignment="1">
      <alignment horizontal="left" vertical="center"/>
    </xf>
    <xf numFmtId="0" fontId="12" fillId="0" borderId="9" xfId="0" applyFont="1" applyFill="1" applyBorder="1" applyAlignment="1" applyProtection="1">
      <alignment horizontal="left" vertical="center" wrapText="1"/>
    </xf>
    <xf numFmtId="0" fontId="13" fillId="0" borderId="15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/>
    </xf>
    <xf numFmtId="177" fontId="23" fillId="0" borderId="14" xfId="0" applyNumberFormat="1" applyFont="1" applyFill="1" applyBorder="1" applyAlignment="1">
      <alignment horizontal="left" vertical="center"/>
    </xf>
    <xf numFmtId="177" fontId="4" fillId="0" borderId="13" xfId="0" applyNumberFormat="1" applyFont="1" applyFill="1" applyBorder="1" applyAlignment="1">
      <alignment horizontal="left" vertical="center"/>
    </xf>
    <xf numFmtId="177" fontId="18" fillId="4" borderId="14" xfId="0" applyNumberFormat="1" applyFont="1" applyFill="1" applyBorder="1" applyAlignment="1">
      <alignment horizontal="left" vertical="center"/>
    </xf>
    <xf numFmtId="26" fontId="22" fillId="0" borderId="0" xfId="0" applyNumberFormat="1" applyFont="1" applyFill="1" applyAlignment="1" applyProtection="1">
      <alignment horizontal="left" vertical="center" wrapText="1"/>
    </xf>
    <xf numFmtId="177" fontId="23" fillId="0" borderId="14" xfId="0" applyNumberFormat="1" applyFont="1" applyFill="1" applyBorder="1" applyAlignment="1">
      <alignment horizontal="left" vertical="center" wrapText="1"/>
    </xf>
    <xf numFmtId="177" fontId="13" fillId="9" borderId="27" xfId="0" applyNumberFormat="1" applyFont="1" applyFill="1" applyBorder="1" applyAlignment="1" applyProtection="1">
      <alignment horizontal="left" vertical="center" wrapText="1"/>
    </xf>
    <xf numFmtId="0" fontId="13" fillId="0" borderId="28" xfId="0" applyFont="1" applyFill="1" applyBorder="1" applyAlignment="1" applyProtection="1">
      <alignment vertical="center" wrapText="1"/>
    </xf>
    <xf numFmtId="0" fontId="13" fillId="0" borderId="0" xfId="0" applyFont="1" applyFill="1" applyBorder="1" applyAlignment="1" applyProtection="1">
      <alignment vertical="center" wrapText="1"/>
    </xf>
    <xf numFmtId="177" fontId="3" fillId="8" borderId="33" xfId="0" applyNumberFormat="1" applyFont="1" applyFill="1" applyBorder="1" applyAlignment="1">
      <alignment horizontal="center" vertical="center" wrapText="1"/>
    </xf>
    <xf numFmtId="177" fontId="3" fillId="8" borderId="3" xfId="0" applyNumberFormat="1" applyFont="1" applyFill="1" applyBorder="1" applyAlignment="1">
      <alignment horizontal="center" vertical="center" wrapText="1"/>
    </xf>
    <xf numFmtId="177" fontId="3" fillId="4" borderId="32" xfId="0" applyNumberFormat="1" applyFont="1" applyFill="1" applyBorder="1" applyAlignment="1">
      <alignment horizontal="center" vertical="center" wrapText="1"/>
    </xf>
    <xf numFmtId="177" fontId="3" fillId="4" borderId="33" xfId="0" applyNumberFormat="1" applyFont="1" applyFill="1" applyBorder="1" applyAlignment="1">
      <alignment horizontal="center" vertical="center" wrapText="1"/>
    </xf>
    <xf numFmtId="177" fontId="3" fillId="4" borderId="3" xfId="0" applyNumberFormat="1" applyFont="1" applyFill="1" applyBorder="1" applyAlignment="1">
      <alignment horizontal="center" vertical="center" wrapText="1"/>
    </xf>
    <xf numFmtId="177" fontId="19" fillId="0" borderId="14" xfId="49" applyNumberFormat="1" applyFont="1" applyFill="1" applyBorder="1" applyAlignment="1">
      <alignment horizontal="left" vertical="center" wrapText="1"/>
    </xf>
    <xf numFmtId="177" fontId="12" fillId="0" borderId="14" xfId="0" applyNumberFormat="1" applyFont="1" applyFill="1" applyBorder="1" applyAlignment="1">
      <alignment horizontal="left" vertical="center"/>
    </xf>
    <xf numFmtId="0" fontId="23" fillId="0" borderId="15" xfId="0" applyFont="1" applyFill="1" applyBorder="1" applyAlignment="1">
      <alignment horizontal="left"/>
    </xf>
    <xf numFmtId="0" fontId="23" fillId="0" borderId="15" xfId="0" applyFont="1" applyFill="1" applyBorder="1" applyAlignment="1">
      <alignment horizontal="left" vertical="center"/>
    </xf>
    <xf numFmtId="177" fontId="18" fillId="0" borderId="14" xfId="0" applyNumberFormat="1" applyFont="1" applyFill="1" applyBorder="1" applyAlignment="1">
      <alignment horizontal="left" vertical="center"/>
    </xf>
    <xf numFmtId="0" fontId="4" fillId="0" borderId="27" xfId="0" applyFont="1" applyFill="1" applyBorder="1" applyAlignment="1">
      <alignment horizontal="left" vertical="center"/>
    </xf>
    <xf numFmtId="0" fontId="4" fillId="0" borderId="28" xfId="0" applyFont="1" applyFill="1" applyBorder="1" applyAlignment="1">
      <alignment horizontal="left" vertical="center"/>
    </xf>
    <xf numFmtId="177" fontId="6" fillId="0" borderId="4" xfId="0" applyNumberFormat="1" applyFont="1" applyFill="1" applyBorder="1" applyAlignment="1" applyProtection="1">
      <alignment horizontal="center" vertical="center" wrapText="1"/>
    </xf>
    <xf numFmtId="177" fontId="6" fillId="0" borderId="5" xfId="0" applyNumberFormat="1" applyFont="1" applyFill="1" applyBorder="1" applyAlignment="1" applyProtection="1">
      <alignment horizontal="center" vertical="center" wrapText="1"/>
    </xf>
    <xf numFmtId="177" fontId="6" fillId="0" borderId="6" xfId="0" applyNumberFormat="1" applyFont="1" applyFill="1" applyBorder="1" applyAlignment="1" applyProtection="1">
      <alignment horizontal="center" vertical="center" wrapText="1"/>
    </xf>
    <xf numFmtId="177" fontId="4" fillId="4" borderId="14" xfId="0" applyNumberFormat="1" applyFont="1" applyFill="1" applyBorder="1" applyAlignment="1">
      <alignment horizontal="left" vertical="center"/>
    </xf>
    <xf numFmtId="177" fontId="12" fillId="4" borderId="26" xfId="0" applyNumberFormat="1" applyFont="1" applyFill="1" applyBorder="1" applyAlignment="1">
      <alignment horizontal="left" vertical="center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4" xfId="50"/>
    <cellStyle name="常规 2 2 2" xfId="51"/>
    <cellStyle name="常规 11 5 4" xfId="52"/>
    <cellStyle name="常规 11" xfId="53"/>
    <cellStyle name="常规 28 2" xfId="54"/>
    <cellStyle name="千位分隔 2" xfId="55"/>
    <cellStyle name="千位分隔 2 3" xfId="56"/>
    <cellStyle name="常规 2 16" xfId="57"/>
    <cellStyle name="超链接 2 2" xfId="58"/>
    <cellStyle name="常规 34" xfId="59"/>
    <cellStyle name="千位分隔 2 11" xfId="60"/>
    <cellStyle name="千位分隔 2 3 10" xfId="61"/>
    <cellStyle name="千位分隔 2 10 2" xfId="6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0.8\winit\winit\&#25112;&#30053;&#19982;&#20135;&#21697;\&#28023;&#22806;&#20179;&#20379;&#24212;&#21830;&#31649;&#29702;&#25991;&#26723;\&#12304;&#20379;&#24212;&#21830;&#25991;&#26723;&#12305;&#32654;&#22269;&#20379;&#24212;&#21830;&#25991;&#26723;\UPS\5.%20&#37038;&#32534;&#20197;&#21450;&#20998;&#21306;\20240305&#26356;&#26032;\https:\bcgcloud-my.sharepoint.com\personal\guerrero_pablo_bcg_com\Documents\Documents\Zone%20Remapping\ZoneFileGenerator%20v8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Final Output"/>
      <sheetName val="Intermediate Output"/>
      <sheetName val="Outside US48 Shipments"/>
      <sheetName val="Inpu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50"/>
  <sheetViews>
    <sheetView tabSelected="1" workbookViewId="0">
      <pane xSplit="3" ySplit="1" topLeftCell="AB11" activePane="bottomRight" state="frozen"/>
      <selection/>
      <selection pane="topRight"/>
      <selection pane="bottomLeft"/>
      <selection pane="bottomRight" activeCell="AD15" sqref="AD15:AD24"/>
    </sheetView>
  </sheetViews>
  <sheetFormatPr defaultColWidth="9" defaultRowHeight="15" customHeight="1"/>
  <cols>
    <col min="1" max="1" width="15.75" style="7" customWidth="1"/>
    <col min="2" max="2" width="7.375" style="7" customWidth="1"/>
    <col min="3" max="3" width="12.5" style="7" customWidth="1"/>
    <col min="4" max="4" width="11.875" style="7" customWidth="1"/>
    <col min="5" max="5" width="16.25" style="7" customWidth="1"/>
    <col min="6" max="6" width="11.875" style="7" customWidth="1"/>
    <col min="7" max="7" width="2.375" style="7" customWidth="1"/>
    <col min="8" max="8" width="15.75" style="7" customWidth="1"/>
    <col min="9" max="9" width="14.125" style="7" customWidth="1"/>
    <col min="10" max="10" width="12.125" style="7" customWidth="1"/>
    <col min="11" max="11" width="1.5" style="8" hidden="1" customWidth="1"/>
    <col min="12" max="12" width="12.75" style="6" hidden="1" customWidth="1"/>
    <col min="13" max="13" width="15.5" style="6" hidden="1" customWidth="1"/>
    <col min="14" max="14" width="12.25" style="6" hidden="1" customWidth="1"/>
    <col min="15" max="15" width="3.125" style="6" customWidth="1"/>
    <col min="16" max="18" width="12.25" style="6" customWidth="1"/>
    <col min="19" max="19" width="7.5" style="7" customWidth="1"/>
    <col min="20" max="20" width="15.25" style="9" customWidth="1"/>
    <col min="21" max="21" width="16.375" style="6" customWidth="1"/>
    <col min="22" max="22" width="9.75" style="6" customWidth="1"/>
    <col min="23" max="23" width="3.25" style="6" customWidth="1"/>
    <col min="24" max="24" width="17.875" style="10" customWidth="1"/>
    <col min="25" max="25" width="10.625" style="8" customWidth="1"/>
    <col min="26" max="26" width="11.25" style="8" customWidth="1"/>
    <col min="27" max="27" width="3.75" style="6" customWidth="1"/>
    <col min="28" max="28" width="19.375" style="6" customWidth="1"/>
    <col min="29" max="29" width="16" style="6" customWidth="1"/>
    <col min="30" max="30" width="13.5" style="6" customWidth="1"/>
    <col min="31" max="31" width="3.5" style="6" customWidth="1"/>
    <col min="32" max="32" width="20.875" style="6" customWidth="1"/>
    <col min="33" max="33" width="12.75" style="6" customWidth="1"/>
    <col min="34" max="34" width="18.375" style="6" customWidth="1"/>
    <col min="35" max="35" width="5.75" style="6" customWidth="1"/>
    <col min="36" max="36" width="15.25" style="6" customWidth="1"/>
    <col min="37" max="37" width="11.5" style="6" customWidth="1"/>
    <col min="38" max="38" width="12.125" style="6" customWidth="1"/>
    <col min="39" max="16384" width="9" style="6"/>
  </cols>
  <sheetData>
    <row r="1" s="5" customFormat="1" ht="53" customHeight="1" spans="1:38">
      <c r="A1" s="11" t="s">
        <v>0</v>
      </c>
      <c r="B1" s="12" t="s">
        <v>1</v>
      </c>
      <c r="C1" s="13" t="s">
        <v>2</v>
      </c>
      <c r="D1" s="14" t="s">
        <v>3</v>
      </c>
      <c r="E1" s="15"/>
      <c r="F1" s="16"/>
      <c r="G1" s="17"/>
      <c r="H1" s="18" t="s">
        <v>4</v>
      </c>
      <c r="I1" s="74"/>
      <c r="J1" s="75"/>
      <c r="K1" s="76"/>
      <c r="L1" s="77" t="s">
        <v>5</v>
      </c>
      <c r="M1" s="78"/>
      <c r="N1" s="79"/>
      <c r="O1" s="80"/>
      <c r="P1" s="81" t="s">
        <v>6</v>
      </c>
      <c r="Q1" s="128"/>
      <c r="R1" s="129"/>
      <c r="S1" s="17"/>
      <c r="T1" s="130" t="s">
        <v>7</v>
      </c>
      <c r="U1" s="131"/>
      <c r="V1" s="132"/>
      <c r="W1" s="133"/>
      <c r="X1" s="134" t="s">
        <v>8</v>
      </c>
      <c r="Y1" s="162"/>
      <c r="Z1" s="163"/>
      <c r="AB1" s="164" t="s">
        <v>9</v>
      </c>
      <c r="AC1" s="165"/>
      <c r="AD1" s="166"/>
      <c r="AF1" s="77" t="s">
        <v>10</v>
      </c>
      <c r="AG1" s="78"/>
      <c r="AH1" s="79"/>
      <c r="AJ1" s="174" t="s">
        <v>11</v>
      </c>
      <c r="AK1" s="175"/>
      <c r="AL1" s="176"/>
    </row>
    <row r="2" ht="37" customHeight="1" spans="1:38">
      <c r="A2" s="19" t="s">
        <v>12</v>
      </c>
      <c r="B2" s="20" t="s">
        <v>13</v>
      </c>
      <c r="C2" s="21" t="s">
        <v>13</v>
      </c>
      <c r="D2" s="22">
        <v>11</v>
      </c>
      <c r="E2" s="23" t="s">
        <v>14</v>
      </c>
      <c r="F2" s="24"/>
      <c r="G2" s="25"/>
      <c r="H2" s="22">
        <v>11</v>
      </c>
      <c r="I2" s="82" t="s">
        <v>15</v>
      </c>
      <c r="J2" s="83"/>
      <c r="K2" s="25"/>
      <c r="L2" s="84">
        <v>10</v>
      </c>
      <c r="M2" s="85"/>
      <c r="N2" s="86"/>
      <c r="O2" s="87"/>
      <c r="P2" s="88" t="s">
        <v>16</v>
      </c>
      <c r="Q2" s="135" t="s">
        <v>17</v>
      </c>
      <c r="R2" s="136"/>
      <c r="S2" s="25"/>
      <c r="T2" s="31">
        <v>11</v>
      </c>
      <c r="U2" s="28" t="s">
        <v>18</v>
      </c>
      <c r="V2" s="29"/>
      <c r="X2" s="47">
        <v>15</v>
      </c>
      <c r="Y2" s="57" t="s">
        <v>19</v>
      </c>
      <c r="Z2" s="110"/>
      <c r="AB2" s="50">
        <v>11</v>
      </c>
      <c r="AC2" s="57" t="s">
        <v>20</v>
      </c>
      <c r="AD2" s="110"/>
      <c r="AF2" s="84">
        <v>10</v>
      </c>
      <c r="AG2" s="85"/>
      <c r="AH2" s="86"/>
      <c r="AJ2" s="22">
        <v>11</v>
      </c>
      <c r="AK2" s="82" t="s">
        <v>21</v>
      </c>
      <c r="AL2" s="83"/>
    </row>
    <row r="3" ht="19" customHeight="1" spans="1:38">
      <c r="A3" s="26"/>
      <c r="B3" s="20" t="s">
        <v>22</v>
      </c>
      <c r="C3" s="21" t="s">
        <v>23</v>
      </c>
      <c r="D3" s="27">
        <v>2</v>
      </c>
      <c r="E3" s="28" t="s">
        <v>24</v>
      </c>
      <c r="F3" s="29"/>
      <c r="G3" s="25"/>
      <c r="H3" s="30">
        <v>1</v>
      </c>
      <c r="I3" s="89"/>
      <c r="J3" s="83"/>
      <c r="K3" s="25"/>
      <c r="L3" s="90">
        <v>1</v>
      </c>
      <c r="M3" s="91" t="s">
        <v>24</v>
      </c>
      <c r="N3" s="92"/>
      <c r="O3" s="93"/>
      <c r="P3" s="88">
        <v>1.2</v>
      </c>
      <c r="Q3" s="91" t="s">
        <v>24</v>
      </c>
      <c r="R3" s="92"/>
      <c r="S3" s="25"/>
      <c r="T3" s="31">
        <v>1</v>
      </c>
      <c r="U3" s="28" t="s">
        <v>24</v>
      </c>
      <c r="V3" s="29"/>
      <c r="W3" s="7"/>
      <c r="X3" s="31">
        <v>1</v>
      </c>
      <c r="Y3" s="48"/>
      <c r="Z3" s="116"/>
      <c r="AB3" s="30">
        <v>1</v>
      </c>
      <c r="AC3" s="48"/>
      <c r="AD3" s="116"/>
      <c r="AF3" s="90">
        <v>1</v>
      </c>
      <c r="AG3" s="91" t="s">
        <v>24</v>
      </c>
      <c r="AH3" s="92"/>
      <c r="AJ3" s="30">
        <v>1</v>
      </c>
      <c r="AK3" s="89"/>
      <c r="AL3" s="83"/>
    </row>
    <row r="4" ht="19" customHeight="1" spans="1:38">
      <c r="A4" s="26"/>
      <c r="B4" s="20" t="s">
        <v>22</v>
      </c>
      <c r="C4" s="29"/>
      <c r="D4" s="27">
        <v>3</v>
      </c>
      <c r="E4" s="28" t="s">
        <v>25</v>
      </c>
      <c r="F4" s="29"/>
      <c r="G4" s="25"/>
      <c r="H4" s="22"/>
      <c r="I4" s="89"/>
      <c r="J4" s="83"/>
      <c r="K4" s="25"/>
      <c r="L4" s="90">
        <v>1</v>
      </c>
      <c r="M4" s="91" t="s">
        <v>25</v>
      </c>
      <c r="N4" s="92"/>
      <c r="O4" s="93"/>
      <c r="P4" s="88">
        <v>1.5</v>
      </c>
      <c r="Q4" s="91" t="s">
        <v>25</v>
      </c>
      <c r="R4" s="92"/>
      <c r="S4" s="25"/>
      <c r="T4" s="31">
        <v>1.5</v>
      </c>
      <c r="U4" s="28" t="s">
        <v>25</v>
      </c>
      <c r="V4" s="29"/>
      <c r="W4" s="7"/>
      <c r="X4" s="31" t="s">
        <v>26</v>
      </c>
      <c r="Y4" s="48"/>
      <c r="Z4" s="116"/>
      <c r="AB4" s="22"/>
      <c r="AC4" s="48"/>
      <c r="AD4" s="116"/>
      <c r="AF4" s="90">
        <v>1</v>
      </c>
      <c r="AG4" s="91" t="s">
        <v>25</v>
      </c>
      <c r="AH4" s="92"/>
      <c r="AJ4" s="22"/>
      <c r="AK4" s="89"/>
      <c r="AL4" s="83"/>
    </row>
    <row r="5" ht="39" customHeight="1" spans="1:38">
      <c r="A5" s="26"/>
      <c r="B5" s="20" t="s">
        <v>22</v>
      </c>
      <c r="C5" s="29" t="s">
        <v>27</v>
      </c>
      <c r="D5" s="31">
        <v>0.3</v>
      </c>
      <c r="E5" s="32" t="s">
        <v>28</v>
      </c>
      <c r="F5" s="29"/>
      <c r="G5" s="25"/>
      <c r="H5" s="31" t="s">
        <v>29</v>
      </c>
      <c r="I5" s="89"/>
      <c r="J5" s="83"/>
      <c r="K5" s="25"/>
      <c r="L5" s="94" t="s">
        <v>29</v>
      </c>
      <c r="M5" s="95" t="s">
        <v>30</v>
      </c>
      <c r="N5" s="96"/>
      <c r="O5" s="97"/>
      <c r="P5" s="94" t="s">
        <v>29</v>
      </c>
      <c r="Q5" s="137" t="s">
        <v>31</v>
      </c>
      <c r="R5" s="138"/>
      <c r="S5" s="25"/>
      <c r="T5" s="31" t="s">
        <v>29</v>
      </c>
      <c r="U5" s="139" t="s">
        <v>32</v>
      </c>
      <c r="V5" s="140"/>
      <c r="W5" s="141"/>
      <c r="X5" s="31" t="s">
        <v>29</v>
      </c>
      <c r="Y5" s="48"/>
      <c r="Z5" s="116"/>
      <c r="AB5" s="31" t="s">
        <v>29</v>
      </c>
      <c r="AC5" s="48"/>
      <c r="AD5" s="116"/>
      <c r="AF5" s="94" t="s">
        <v>29</v>
      </c>
      <c r="AG5" s="95" t="s">
        <v>33</v>
      </c>
      <c r="AH5" s="96"/>
      <c r="AJ5" s="31" t="s">
        <v>29</v>
      </c>
      <c r="AK5" s="89"/>
      <c r="AL5" s="83"/>
    </row>
    <row r="6" ht="48" customHeight="1" spans="1:38">
      <c r="A6" s="26"/>
      <c r="B6" s="20" t="s">
        <v>34</v>
      </c>
      <c r="C6" s="29" t="s">
        <v>35</v>
      </c>
      <c r="D6" s="33" t="s">
        <v>36</v>
      </c>
      <c r="E6" s="34" t="s">
        <v>37</v>
      </c>
      <c r="F6" s="35"/>
      <c r="G6" s="36"/>
      <c r="H6" s="33" t="s">
        <v>36</v>
      </c>
      <c r="I6" s="89"/>
      <c r="J6" s="83"/>
      <c r="K6" s="25"/>
      <c r="L6" s="98" t="s">
        <v>36</v>
      </c>
      <c r="M6" s="95" t="s">
        <v>38</v>
      </c>
      <c r="N6" s="96"/>
      <c r="O6" s="97"/>
      <c r="P6" s="99" t="s">
        <v>39</v>
      </c>
      <c r="Q6" s="137" t="s">
        <v>40</v>
      </c>
      <c r="R6" s="138"/>
      <c r="S6" s="25"/>
      <c r="T6" s="33" t="s">
        <v>36</v>
      </c>
      <c r="U6" s="39" t="s">
        <v>41</v>
      </c>
      <c r="V6" s="110"/>
      <c r="W6" s="7"/>
      <c r="X6" s="142" t="s">
        <v>42</v>
      </c>
      <c r="Y6" s="48"/>
      <c r="Z6" s="116"/>
      <c r="AB6" s="167" t="s">
        <v>36</v>
      </c>
      <c r="AC6" s="48"/>
      <c r="AD6" s="116"/>
      <c r="AF6" s="98" t="s">
        <v>36</v>
      </c>
      <c r="AG6" s="95" t="s">
        <v>38</v>
      </c>
      <c r="AH6" s="96"/>
      <c r="AJ6" s="33" t="s">
        <v>36</v>
      </c>
      <c r="AK6" s="89"/>
      <c r="AL6" s="83"/>
    </row>
    <row r="7" ht="45" customHeight="1" spans="1:38">
      <c r="A7" s="26"/>
      <c r="B7" s="20" t="s">
        <v>34</v>
      </c>
      <c r="C7" s="29" t="s">
        <v>43</v>
      </c>
      <c r="D7" s="33" t="s">
        <v>44</v>
      </c>
      <c r="E7" s="34"/>
      <c r="F7" s="35"/>
      <c r="G7" s="36"/>
      <c r="H7" s="33" t="s">
        <v>45</v>
      </c>
      <c r="I7" s="89"/>
      <c r="J7" s="83"/>
      <c r="K7" s="25"/>
      <c r="L7" s="98" t="s">
        <v>46</v>
      </c>
      <c r="M7" s="95"/>
      <c r="N7" s="96"/>
      <c r="O7" s="97"/>
      <c r="P7" s="99" t="s">
        <v>47</v>
      </c>
      <c r="Q7" s="137"/>
      <c r="R7" s="138"/>
      <c r="S7" s="25"/>
      <c r="T7" s="33" t="s">
        <v>48</v>
      </c>
      <c r="U7" s="48"/>
      <c r="V7" s="116"/>
      <c r="W7" s="7"/>
      <c r="X7" s="142" t="s">
        <v>49</v>
      </c>
      <c r="Y7" s="48"/>
      <c r="Z7" s="116"/>
      <c r="AB7" s="167" t="s">
        <v>50</v>
      </c>
      <c r="AC7" s="48"/>
      <c r="AD7" s="116"/>
      <c r="AF7" s="98" t="s">
        <v>46</v>
      </c>
      <c r="AG7" s="95"/>
      <c r="AH7" s="96"/>
      <c r="AJ7" s="33" t="s">
        <v>45</v>
      </c>
      <c r="AK7" s="89"/>
      <c r="AL7" s="83"/>
    </row>
    <row r="8" ht="53" customHeight="1" spans="1:38">
      <c r="A8" s="26"/>
      <c r="B8" s="20" t="s">
        <v>34</v>
      </c>
      <c r="C8" s="29" t="s">
        <v>51</v>
      </c>
      <c r="D8" s="33" t="s">
        <v>44</v>
      </c>
      <c r="E8" s="34"/>
      <c r="F8" s="35"/>
      <c r="G8" s="36"/>
      <c r="H8" s="33" t="s">
        <v>45</v>
      </c>
      <c r="I8" s="89"/>
      <c r="J8" s="83"/>
      <c r="K8" s="25"/>
      <c r="L8" s="98" t="s">
        <v>46</v>
      </c>
      <c r="M8" s="95"/>
      <c r="N8" s="96"/>
      <c r="O8" s="97"/>
      <c r="P8" s="99" t="s">
        <v>47</v>
      </c>
      <c r="Q8" s="137"/>
      <c r="R8" s="138"/>
      <c r="S8" s="25"/>
      <c r="T8" s="33" t="s">
        <v>52</v>
      </c>
      <c r="U8" s="48"/>
      <c r="V8" s="116"/>
      <c r="W8" s="7"/>
      <c r="X8" s="142" t="s">
        <v>53</v>
      </c>
      <c r="Y8" s="48"/>
      <c r="Z8" s="116"/>
      <c r="AB8" s="167" t="s">
        <v>54</v>
      </c>
      <c r="AC8" s="48"/>
      <c r="AD8" s="116"/>
      <c r="AF8" s="98" t="s">
        <v>46</v>
      </c>
      <c r="AG8" s="95"/>
      <c r="AH8" s="96"/>
      <c r="AJ8" s="33" t="s">
        <v>45</v>
      </c>
      <c r="AK8" s="89"/>
      <c r="AL8" s="83"/>
    </row>
    <row r="9" ht="57" customHeight="1" spans="1:38">
      <c r="A9" s="26"/>
      <c r="B9" s="20" t="s">
        <v>34</v>
      </c>
      <c r="C9" s="29" t="s">
        <v>55</v>
      </c>
      <c r="D9" s="33" t="s">
        <v>56</v>
      </c>
      <c r="E9" s="34"/>
      <c r="F9" s="35"/>
      <c r="G9" s="36"/>
      <c r="H9" s="33" t="s">
        <v>57</v>
      </c>
      <c r="I9" s="89"/>
      <c r="J9" s="83"/>
      <c r="K9" s="25"/>
      <c r="L9" s="98" t="s">
        <v>58</v>
      </c>
      <c r="M9" s="95"/>
      <c r="N9" s="96"/>
      <c r="O9" s="97"/>
      <c r="P9" s="99" t="s">
        <v>59</v>
      </c>
      <c r="Q9" s="137"/>
      <c r="R9" s="138"/>
      <c r="S9" s="25"/>
      <c r="T9" s="33" t="s">
        <v>60</v>
      </c>
      <c r="U9" s="48"/>
      <c r="V9" s="116"/>
      <c r="W9" s="7"/>
      <c r="X9" s="142" t="s">
        <v>53</v>
      </c>
      <c r="Y9" s="48"/>
      <c r="Z9" s="116"/>
      <c r="AB9" s="167" t="s">
        <v>61</v>
      </c>
      <c r="AC9" s="48"/>
      <c r="AD9" s="116"/>
      <c r="AF9" s="98" t="s">
        <v>58</v>
      </c>
      <c r="AG9" s="95"/>
      <c r="AH9" s="96"/>
      <c r="AJ9" s="33" t="s">
        <v>57</v>
      </c>
      <c r="AK9" s="89"/>
      <c r="AL9" s="83"/>
    </row>
    <row r="10" ht="57" customHeight="1" spans="1:38">
      <c r="A10" s="26"/>
      <c r="B10" s="20" t="s">
        <v>34</v>
      </c>
      <c r="C10" s="29" t="s">
        <v>62</v>
      </c>
      <c r="D10" s="37" t="s">
        <v>63</v>
      </c>
      <c r="E10" s="34"/>
      <c r="F10" s="35"/>
      <c r="G10" s="36"/>
      <c r="H10" s="33" t="s">
        <v>64</v>
      </c>
      <c r="I10" s="100"/>
      <c r="J10" s="101"/>
      <c r="K10" s="25"/>
      <c r="L10" s="98" t="s">
        <v>65</v>
      </c>
      <c r="M10" s="95"/>
      <c r="N10" s="96"/>
      <c r="O10" s="97"/>
      <c r="P10" s="99" t="s">
        <v>66</v>
      </c>
      <c r="Q10" s="137"/>
      <c r="R10" s="138"/>
      <c r="S10" s="25"/>
      <c r="T10" s="33" t="s">
        <v>67</v>
      </c>
      <c r="U10" s="52"/>
      <c r="V10" s="111"/>
      <c r="W10" s="7"/>
      <c r="X10" s="142" t="s">
        <v>68</v>
      </c>
      <c r="Y10" s="52"/>
      <c r="Z10" s="111"/>
      <c r="AB10" s="167" t="s">
        <v>69</v>
      </c>
      <c r="AC10" s="52"/>
      <c r="AD10" s="111"/>
      <c r="AF10" s="98" t="s">
        <v>65</v>
      </c>
      <c r="AG10" s="95"/>
      <c r="AH10" s="96"/>
      <c r="AJ10" s="33" t="s">
        <v>64</v>
      </c>
      <c r="AK10" s="100"/>
      <c r="AL10" s="101"/>
    </row>
    <row r="11" ht="38" customHeight="1" spans="1:38">
      <c r="A11" s="26"/>
      <c r="B11" s="20" t="s">
        <v>70</v>
      </c>
      <c r="C11" s="21" t="s">
        <v>71</v>
      </c>
      <c r="D11" s="31">
        <v>0.45</v>
      </c>
      <c r="E11" s="28"/>
      <c r="F11" s="29"/>
      <c r="G11" s="25"/>
      <c r="H11" s="31">
        <v>0.45</v>
      </c>
      <c r="I11" s="53"/>
      <c r="J11" s="54"/>
      <c r="L11" s="102">
        <v>0.4</v>
      </c>
      <c r="M11" s="91"/>
      <c r="N11" s="92"/>
      <c r="O11" s="93"/>
      <c r="P11" s="88">
        <v>0.48</v>
      </c>
      <c r="Q11" s="143"/>
      <c r="R11" s="144"/>
      <c r="S11" s="25"/>
      <c r="T11" s="31">
        <v>0.35</v>
      </c>
      <c r="U11" s="28"/>
      <c r="V11" s="29"/>
      <c r="W11" s="7"/>
      <c r="X11" s="47">
        <v>0.5</v>
      </c>
      <c r="Y11" s="28"/>
      <c r="Z11" s="29"/>
      <c r="AB11" s="168">
        <v>0.45</v>
      </c>
      <c r="AC11" s="28"/>
      <c r="AD11" s="29"/>
      <c r="AF11" s="102">
        <v>0.4</v>
      </c>
      <c r="AG11" s="91"/>
      <c r="AH11" s="92"/>
      <c r="AJ11" s="31">
        <v>0.45</v>
      </c>
      <c r="AK11" s="53"/>
      <c r="AL11" s="54"/>
    </row>
    <row r="12" ht="37" customHeight="1" spans="1:38">
      <c r="A12" s="26"/>
      <c r="B12" s="20" t="s">
        <v>72</v>
      </c>
      <c r="C12" s="38" t="s">
        <v>73</v>
      </c>
      <c r="D12" s="27">
        <v>20</v>
      </c>
      <c r="E12" s="28" t="s">
        <v>74</v>
      </c>
      <c r="F12" s="29"/>
      <c r="G12" s="25"/>
      <c r="H12" s="31">
        <v>15</v>
      </c>
      <c r="I12" s="53" t="s">
        <v>74</v>
      </c>
      <c r="J12" s="54"/>
      <c r="L12" s="102">
        <v>15</v>
      </c>
      <c r="M12" s="103"/>
      <c r="N12" s="104"/>
      <c r="O12" s="87"/>
      <c r="P12" s="88">
        <v>18</v>
      </c>
      <c r="Q12" s="143"/>
      <c r="R12" s="144"/>
      <c r="S12" s="25"/>
      <c r="T12" s="31">
        <v>15</v>
      </c>
      <c r="U12" s="28" t="s">
        <v>74</v>
      </c>
      <c r="V12" s="29"/>
      <c r="X12" s="31">
        <v>15</v>
      </c>
      <c r="Y12" s="28" t="s">
        <v>74</v>
      </c>
      <c r="Z12" s="29"/>
      <c r="AB12" s="31">
        <v>15</v>
      </c>
      <c r="AC12" s="28" t="s">
        <v>74</v>
      </c>
      <c r="AD12" s="29"/>
      <c r="AF12" s="102">
        <v>15</v>
      </c>
      <c r="AG12" s="103"/>
      <c r="AH12" s="104"/>
      <c r="AJ12" s="31">
        <v>15</v>
      </c>
      <c r="AK12" s="53" t="s">
        <v>74</v>
      </c>
      <c r="AL12" s="54"/>
    </row>
    <row r="13" ht="19" customHeight="1" spans="1:38">
      <c r="A13" s="26"/>
      <c r="B13" s="20" t="s">
        <v>72</v>
      </c>
      <c r="C13" s="21" t="s">
        <v>75</v>
      </c>
      <c r="D13" s="27">
        <v>8</v>
      </c>
      <c r="E13" s="28" t="s">
        <v>76</v>
      </c>
      <c r="F13" s="29"/>
      <c r="G13" s="25"/>
      <c r="H13" s="31">
        <v>5.5</v>
      </c>
      <c r="I13" s="53" t="s">
        <v>76</v>
      </c>
      <c r="J13" s="54"/>
      <c r="L13" s="102">
        <v>5</v>
      </c>
      <c r="M13" s="103"/>
      <c r="N13" s="104"/>
      <c r="O13" s="87"/>
      <c r="P13" s="88">
        <v>6</v>
      </c>
      <c r="Q13" s="143"/>
      <c r="R13" s="144"/>
      <c r="S13" s="25"/>
      <c r="T13" s="31">
        <v>6.5</v>
      </c>
      <c r="U13" s="28" t="s">
        <v>76</v>
      </c>
      <c r="V13" s="29"/>
      <c r="X13" s="27">
        <v>6.5</v>
      </c>
      <c r="Y13" s="28" t="s">
        <v>76</v>
      </c>
      <c r="Z13" s="29"/>
      <c r="AB13" s="50">
        <v>5</v>
      </c>
      <c r="AC13" s="28" t="s">
        <v>76</v>
      </c>
      <c r="AD13" s="29"/>
      <c r="AF13" s="102">
        <v>5</v>
      </c>
      <c r="AG13" s="103"/>
      <c r="AH13" s="104"/>
      <c r="AJ13" s="31">
        <v>5.5</v>
      </c>
      <c r="AK13" s="53" t="s">
        <v>76</v>
      </c>
      <c r="AL13" s="54"/>
    </row>
    <row r="14" ht="35" customHeight="1" spans="1:38">
      <c r="A14" s="26"/>
      <c r="B14" s="39" t="s">
        <v>22</v>
      </c>
      <c r="C14" s="40" t="s">
        <v>77</v>
      </c>
      <c r="D14" s="31">
        <v>0.8</v>
      </c>
      <c r="E14" s="32" t="s">
        <v>78</v>
      </c>
      <c r="F14" s="29"/>
      <c r="G14" s="25"/>
      <c r="H14" s="31" t="s">
        <v>29</v>
      </c>
      <c r="I14" s="53"/>
      <c r="J14" s="54"/>
      <c r="L14" s="105" t="s">
        <v>29</v>
      </c>
      <c r="M14" s="103"/>
      <c r="N14" s="104"/>
      <c r="O14" s="87"/>
      <c r="P14" s="105" t="s">
        <v>29</v>
      </c>
      <c r="Q14" s="143"/>
      <c r="R14" s="144"/>
      <c r="S14" s="25"/>
      <c r="T14" s="31" t="s">
        <v>29</v>
      </c>
      <c r="U14" s="106"/>
      <c r="V14" s="145"/>
      <c r="X14" s="31" t="s">
        <v>29</v>
      </c>
      <c r="Y14" s="106"/>
      <c r="Z14" s="145"/>
      <c r="AB14" s="31" t="s">
        <v>29</v>
      </c>
      <c r="AC14" s="106"/>
      <c r="AD14" s="145"/>
      <c r="AF14" s="105" t="s">
        <v>29</v>
      </c>
      <c r="AG14" s="103"/>
      <c r="AH14" s="104"/>
      <c r="AJ14" s="31" t="s">
        <v>29</v>
      </c>
      <c r="AK14" s="53"/>
      <c r="AL14" s="54"/>
    </row>
    <row r="15" ht="18" customHeight="1" spans="1:38">
      <c r="A15" s="41" t="s">
        <v>79</v>
      </c>
      <c r="B15" s="42"/>
      <c r="C15" s="43" t="s">
        <v>80</v>
      </c>
      <c r="D15" s="27">
        <v>0.4</v>
      </c>
      <c r="E15" s="44" t="s">
        <v>81</v>
      </c>
      <c r="F15" s="45" t="s">
        <v>82</v>
      </c>
      <c r="G15" s="46"/>
      <c r="H15" s="47">
        <v>0.5</v>
      </c>
      <c r="I15" s="106" t="s">
        <v>83</v>
      </c>
      <c r="J15" s="21" t="s">
        <v>84</v>
      </c>
      <c r="L15" s="90">
        <v>0.24</v>
      </c>
      <c r="M15" s="107" t="s">
        <v>83</v>
      </c>
      <c r="N15" s="92" t="s">
        <v>85</v>
      </c>
      <c r="O15" s="93"/>
      <c r="P15" s="108">
        <v>0.31</v>
      </c>
      <c r="Q15" s="107" t="s">
        <v>83</v>
      </c>
      <c r="R15" s="96" t="s">
        <v>86</v>
      </c>
      <c r="S15" s="25"/>
      <c r="T15" s="31">
        <v>0.4</v>
      </c>
      <c r="U15" s="106" t="s">
        <v>83</v>
      </c>
      <c r="V15" s="21" t="s">
        <v>87</v>
      </c>
      <c r="X15" s="146">
        <v>1</v>
      </c>
      <c r="Y15" s="169" t="s">
        <v>83</v>
      </c>
      <c r="Z15" s="21" t="s">
        <v>88</v>
      </c>
      <c r="AB15" s="146">
        <f>0.4+0.3</f>
        <v>0.7</v>
      </c>
      <c r="AC15" s="169" t="s">
        <v>83</v>
      </c>
      <c r="AD15" s="21" t="s">
        <v>89</v>
      </c>
      <c r="AF15" s="90">
        <v>0.24</v>
      </c>
      <c r="AG15" s="107" t="s">
        <v>83</v>
      </c>
      <c r="AH15" s="96" t="s">
        <v>90</v>
      </c>
      <c r="AJ15" s="47">
        <v>0.5</v>
      </c>
      <c r="AK15" s="106" t="s">
        <v>83</v>
      </c>
      <c r="AL15" s="21" t="s">
        <v>84</v>
      </c>
    </row>
    <row r="16" ht="18" customHeight="1" spans="1:38">
      <c r="A16" s="26"/>
      <c r="B16" s="48"/>
      <c r="C16" s="29"/>
      <c r="D16" s="27">
        <v>0.6</v>
      </c>
      <c r="E16" s="28" t="s">
        <v>91</v>
      </c>
      <c r="F16" s="49"/>
      <c r="G16" s="25"/>
      <c r="H16" s="47">
        <v>0.65</v>
      </c>
      <c r="I16" s="106" t="s">
        <v>92</v>
      </c>
      <c r="J16" s="29"/>
      <c r="L16" s="90">
        <v>0.28</v>
      </c>
      <c r="M16" s="107" t="s">
        <v>92</v>
      </c>
      <c r="N16" s="92"/>
      <c r="O16" s="93"/>
      <c r="P16" s="108">
        <v>0.36</v>
      </c>
      <c r="Q16" s="107" t="s">
        <v>92</v>
      </c>
      <c r="R16" s="92"/>
      <c r="S16" s="25"/>
      <c r="T16" s="31">
        <v>0.6</v>
      </c>
      <c r="U16" s="106" t="s">
        <v>92</v>
      </c>
      <c r="V16" s="21"/>
      <c r="X16" s="147">
        <v>1.2</v>
      </c>
      <c r="Y16" s="169" t="s">
        <v>92</v>
      </c>
      <c r="Z16" s="29"/>
      <c r="AB16" s="146">
        <f>0.6+0.3</f>
        <v>0.9</v>
      </c>
      <c r="AC16" s="169" t="s">
        <v>92</v>
      </c>
      <c r="AD16" s="21"/>
      <c r="AF16" s="90">
        <v>0.28</v>
      </c>
      <c r="AG16" s="107" t="s">
        <v>92</v>
      </c>
      <c r="AH16" s="92"/>
      <c r="AJ16" s="47">
        <v>0.65</v>
      </c>
      <c r="AK16" s="106" t="s">
        <v>92</v>
      </c>
      <c r="AL16" s="29"/>
    </row>
    <row r="17" ht="18" customHeight="1" spans="1:38">
      <c r="A17" s="26"/>
      <c r="B17" s="48"/>
      <c r="C17" s="29"/>
      <c r="D17" s="50">
        <v>0.85</v>
      </c>
      <c r="E17" s="28" t="s">
        <v>93</v>
      </c>
      <c r="F17" s="49"/>
      <c r="G17" s="25"/>
      <c r="H17" s="47">
        <v>1</v>
      </c>
      <c r="I17" s="106" t="s">
        <v>94</v>
      </c>
      <c r="J17" s="29"/>
      <c r="L17" s="90">
        <v>0.45</v>
      </c>
      <c r="M17" s="107" t="s">
        <v>94</v>
      </c>
      <c r="N17" s="92"/>
      <c r="O17" s="93"/>
      <c r="P17" s="108">
        <v>0.59</v>
      </c>
      <c r="Q17" s="107" t="s">
        <v>94</v>
      </c>
      <c r="R17" s="92"/>
      <c r="S17" s="25"/>
      <c r="T17" s="31">
        <v>0.9</v>
      </c>
      <c r="U17" s="106" t="s">
        <v>94</v>
      </c>
      <c r="V17" s="21"/>
      <c r="X17" s="146">
        <v>1.3</v>
      </c>
      <c r="Y17" s="169" t="s">
        <v>94</v>
      </c>
      <c r="Z17" s="29"/>
      <c r="AB17" s="146">
        <f>0.8+0.3</f>
        <v>1.1</v>
      </c>
      <c r="AC17" s="169" t="s">
        <v>94</v>
      </c>
      <c r="AD17" s="21"/>
      <c r="AF17" s="90">
        <v>0.45</v>
      </c>
      <c r="AG17" s="107" t="s">
        <v>94</v>
      </c>
      <c r="AH17" s="92"/>
      <c r="AJ17" s="47">
        <v>1</v>
      </c>
      <c r="AK17" s="106" t="s">
        <v>94</v>
      </c>
      <c r="AL17" s="29"/>
    </row>
    <row r="18" ht="18" customHeight="1" spans="1:38">
      <c r="A18" s="26"/>
      <c r="B18" s="48"/>
      <c r="C18" s="29"/>
      <c r="D18" s="50">
        <v>1.25</v>
      </c>
      <c r="E18" s="28" t="s">
        <v>95</v>
      </c>
      <c r="F18" s="49"/>
      <c r="G18" s="25"/>
      <c r="H18" s="47">
        <v>1.5</v>
      </c>
      <c r="I18" s="106" t="s">
        <v>96</v>
      </c>
      <c r="J18" s="29"/>
      <c r="L18" s="90">
        <v>0.64</v>
      </c>
      <c r="M18" s="107" t="s">
        <v>96</v>
      </c>
      <c r="N18" s="92"/>
      <c r="O18" s="93"/>
      <c r="P18" s="108">
        <v>0.77</v>
      </c>
      <c r="Q18" s="107" t="s">
        <v>96</v>
      </c>
      <c r="R18" s="92"/>
      <c r="S18" s="25"/>
      <c r="T18" s="31">
        <v>1.25</v>
      </c>
      <c r="U18" s="106" t="s">
        <v>96</v>
      </c>
      <c r="V18" s="21"/>
      <c r="X18" s="146">
        <v>1.6</v>
      </c>
      <c r="Y18" s="169" t="s">
        <v>96</v>
      </c>
      <c r="Z18" s="29"/>
      <c r="AB18" s="146">
        <f>1.4+0.3</f>
        <v>1.7</v>
      </c>
      <c r="AC18" s="169" t="s">
        <v>96</v>
      </c>
      <c r="AD18" s="21"/>
      <c r="AF18" s="90">
        <v>0.64</v>
      </c>
      <c r="AG18" s="107" t="s">
        <v>96</v>
      </c>
      <c r="AH18" s="92"/>
      <c r="AJ18" s="47">
        <v>1.5</v>
      </c>
      <c r="AK18" s="106" t="s">
        <v>96</v>
      </c>
      <c r="AL18" s="29"/>
    </row>
    <row r="19" ht="18" customHeight="1" spans="1:38">
      <c r="A19" s="26"/>
      <c r="B19" s="48"/>
      <c r="C19" s="29"/>
      <c r="D19" s="50">
        <v>1.5</v>
      </c>
      <c r="E19" s="28" t="s">
        <v>97</v>
      </c>
      <c r="F19" s="49"/>
      <c r="G19" s="25"/>
      <c r="H19" s="47">
        <v>1.85</v>
      </c>
      <c r="I19" s="106" t="s">
        <v>98</v>
      </c>
      <c r="J19" s="29"/>
      <c r="L19" s="90">
        <v>1.27</v>
      </c>
      <c r="M19" s="107" t="s">
        <v>98</v>
      </c>
      <c r="N19" s="92"/>
      <c r="O19" s="93"/>
      <c r="P19" s="88">
        <v>1.45</v>
      </c>
      <c r="Q19" s="107" t="s">
        <v>98</v>
      </c>
      <c r="R19" s="92"/>
      <c r="S19" s="25"/>
      <c r="T19" s="31">
        <v>1.5</v>
      </c>
      <c r="U19" s="106" t="s">
        <v>98</v>
      </c>
      <c r="V19" s="21"/>
      <c r="X19" s="146">
        <v>2.2</v>
      </c>
      <c r="Y19" s="169" t="s">
        <v>98</v>
      </c>
      <c r="Z19" s="29"/>
      <c r="AB19" s="146">
        <f>1.8+0.4</f>
        <v>2.2</v>
      </c>
      <c r="AC19" s="169" t="s">
        <v>98</v>
      </c>
      <c r="AD19" s="21"/>
      <c r="AF19" s="90">
        <v>1.27</v>
      </c>
      <c r="AG19" s="107" t="s">
        <v>98</v>
      </c>
      <c r="AH19" s="92"/>
      <c r="AJ19" s="47">
        <v>1.85</v>
      </c>
      <c r="AK19" s="106" t="s">
        <v>98</v>
      </c>
      <c r="AL19" s="29"/>
    </row>
    <row r="20" ht="18" customHeight="1" spans="1:38">
      <c r="A20" s="26"/>
      <c r="B20" s="48"/>
      <c r="C20" s="29"/>
      <c r="D20" s="27">
        <v>2.4</v>
      </c>
      <c r="E20" s="28" t="s">
        <v>99</v>
      </c>
      <c r="F20" s="49"/>
      <c r="G20" s="25"/>
      <c r="H20" s="47">
        <v>2</v>
      </c>
      <c r="I20" s="106" t="s">
        <v>100</v>
      </c>
      <c r="J20" s="29"/>
      <c r="L20" s="90">
        <v>2</v>
      </c>
      <c r="M20" s="107" t="s">
        <v>100</v>
      </c>
      <c r="N20" s="92"/>
      <c r="O20" s="93"/>
      <c r="P20" s="102">
        <v>2</v>
      </c>
      <c r="Q20" s="107" t="s">
        <v>100</v>
      </c>
      <c r="R20" s="92"/>
      <c r="S20" s="25"/>
      <c r="T20" s="31">
        <v>2.5</v>
      </c>
      <c r="U20" s="106" t="s">
        <v>100</v>
      </c>
      <c r="V20" s="21"/>
      <c r="X20" s="146">
        <v>2.6</v>
      </c>
      <c r="Y20" s="169" t="s">
        <v>100</v>
      </c>
      <c r="Z20" s="29"/>
      <c r="AB20" s="146">
        <f>2.2+0.4</f>
        <v>2.6</v>
      </c>
      <c r="AC20" s="169" t="s">
        <v>100</v>
      </c>
      <c r="AD20" s="21"/>
      <c r="AF20" s="90">
        <v>2</v>
      </c>
      <c r="AG20" s="107" t="s">
        <v>100</v>
      </c>
      <c r="AH20" s="92"/>
      <c r="AJ20" s="47">
        <v>2</v>
      </c>
      <c r="AK20" s="106" t="s">
        <v>100</v>
      </c>
      <c r="AL20" s="29"/>
    </row>
    <row r="21" ht="18" customHeight="1" spans="1:38">
      <c r="A21" s="26"/>
      <c r="B21" s="48"/>
      <c r="C21" s="29"/>
      <c r="D21" s="27">
        <v>3.2</v>
      </c>
      <c r="E21" s="28" t="s">
        <v>101</v>
      </c>
      <c r="F21" s="49"/>
      <c r="G21" s="25"/>
      <c r="H21" s="47">
        <v>2.25</v>
      </c>
      <c r="I21" s="106" t="s">
        <v>102</v>
      </c>
      <c r="J21" s="29"/>
      <c r="L21" s="90">
        <v>2.5</v>
      </c>
      <c r="M21" s="107" t="s">
        <v>102</v>
      </c>
      <c r="N21" s="92"/>
      <c r="O21" s="93"/>
      <c r="P21" s="102">
        <v>2.5</v>
      </c>
      <c r="Q21" s="107" t="s">
        <v>102</v>
      </c>
      <c r="R21" s="92"/>
      <c r="S21" s="25"/>
      <c r="T21" s="31">
        <v>3.5</v>
      </c>
      <c r="U21" s="106" t="s">
        <v>102</v>
      </c>
      <c r="V21" s="21"/>
      <c r="X21" s="146">
        <v>3.4</v>
      </c>
      <c r="Y21" s="169" t="s">
        <v>102</v>
      </c>
      <c r="Z21" s="29"/>
      <c r="AB21" s="146">
        <f>2.6+0.4</f>
        <v>3</v>
      </c>
      <c r="AC21" s="169" t="s">
        <v>102</v>
      </c>
      <c r="AD21" s="21"/>
      <c r="AF21" s="90">
        <v>2.5</v>
      </c>
      <c r="AG21" s="107" t="s">
        <v>102</v>
      </c>
      <c r="AH21" s="92"/>
      <c r="AJ21" s="47">
        <v>2.25</v>
      </c>
      <c r="AK21" s="106" t="s">
        <v>102</v>
      </c>
      <c r="AL21" s="29"/>
    </row>
    <row r="22" ht="18" customHeight="1" spans="1:38">
      <c r="A22" s="26"/>
      <c r="B22" s="48"/>
      <c r="C22" s="29"/>
      <c r="D22" s="27">
        <v>4</v>
      </c>
      <c r="E22" s="28" t="s">
        <v>103</v>
      </c>
      <c r="F22" s="49"/>
      <c r="G22" s="25"/>
      <c r="H22" s="47">
        <v>3.5</v>
      </c>
      <c r="I22" s="106" t="s">
        <v>104</v>
      </c>
      <c r="J22" s="29"/>
      <c r="L22" s="90">
        <v>3</v>
      </c>
      <c r="M22" s="107" t="s">
        <v>104</v>
      </c>
      <c r="N22" s="92"/>
      <c r="O22" s="93"/>
      <c r="P22" s="102">
        <v>3</v>
      </c>
      <c r="Q22" s="107" t="s">
        <v>104</v>
      </c>
      <c r="R22" s="92"/>
      <c r="S22" s="25"/>
      <c r="T22" s="31">
        <v>4</v>
      </c>
      <c r="U22" s="106" t="s">
        <v>104</v>
      </c>
      <c r="V22" s="21"/>
      <c r="X22" s="146">
        <v>6</v>
      </c>
      <c r="Y22" s="169" t="s">
        <v>104</v>
      </c>
      <c r="Z22" s="29"/>
      <c r="AB22" s="146">
        <f>3.84+0.5</f>
        <v>4.34</v>
      </c>
      <c r="AC22" s="169" t="s">
        <v>104</v>
      </c>
      <c r="AD22" s="21"/>
      <c r="AF22" s="90">
        <v>3</v>
      </c>
      <c r="AG22" s="107" t="s">
        <v>104</v>
      </c>
      <c r="AH22" s="92"/>
      <c r="AJ22" s="47">
        <v>3.5</v>
      </c>
      <c r="AK22" s="106" t="s">
        <v>104</v>
      </c>
      <c r="AL22" s="29"/>
    </row>
    <row r="23" ht="18" customHeight="1" spans="1:38">
      <c r="A23" s="26"/>
      <c r="B23" s="48"/>
      <c r="C23" s="29"/>
      <c r="D23" s="27">
        <v>5</v>
      </c>
      <c r="E23" s="28" t="s">
        <v>105</v>
      </c>
      <c r="F23" s="49"/>
      <c r="G23" s="25"/>
      <c r="H23" s="47">
        <v>4.5</v>
      </c>
      <c r="I23" s="106" t="s">
        <v>106</v>
      </c>
      <c r="J23" s="29"/>
      <c r="L23" s="90">
        <v>3.5</v>
      </c>
      <c r="M23" s="107" t="s">
        <v>106</v>
      </c>
      <c r="N23" s="92"/>
      <c r="O23" s="93"/>
      <c r="P23" s="88">
        <v>4</v>
      </c>
      <c r="Q23" s="107" t="s">
        <v>106</v>
      </c>
      <c r="R23" s="92"/>
      <c r="S23" s="25"/>
      <c r="T23" s="31">
        <v>4.5</v>
      </c>
      <c r="U23" s="106" t="s">
        <v>106</v>
      </c>
      <c r="V23" s="21"/>
      <c r="X23" s="146">
        <v>7</v>
      </c>
      <c r="Y23" s="169" t="s">
        <v>106</v>
      </c>
      <c r="Z23" s="29"/>
      <c r="AB23" s="146">
        <f>4.8+0.5</f>
        <v>5.3</v>
      </c>
      <c r="AC23" s="169" t="s">
        <v>106</v>
      </c>
      <c r="AD23" s="21"/>
      <c r="AF23" s="90">
        <v>3.5</v>
      </c>
      <c r="AG23" s="107" t="s">
        <v>106</v>
      </c>
      <c r="AH23" s="92"/>
      <c r="AJ23" s="47">
        <v>4.5</v>
      </c>
      <c r="AK23" s="106" t="s">
        <v>106</v>
      </c>
      <c r="AL23" s="29"/>
    </row>
    <row r="24" ht="48" customHeight="1" spans="1:38">
      <c r="A24" s="51"/>
      <c r="B24" s="52"/>
      <c r="C24" s="29"/>
      <c r="D24" s="27">
        <v>6</v>
      </c>
      <c r="E24" s="28" t="s">
        <v>107</v>
      </c>
      <c r="F24" s="49"/>
      <c r="G24" s="25"/>
      <c r="H24" s="47">
        <v>5.5</v>
      </c>
      <c r="I24" s="106" t="s">
        <v>108</v>
      </c>
      <c r="J24" s="29"/>
      <c r="L24" s="90">
        <v>4.5</v>
      </c>
      <c r="M24" s="109" t="s">
        <v>108</v>
      </c>
      <c r="N24" s="92"/>
      <c r="O24" s="93"/>
      <c r="P24" s="88">
        <v>4.9</v>
      </c>
      <c r="Q24" s="109" t="s">
        <v>108</v>
      </c>
      <c r="R24" s="92"/>
      <c r="S24" s="25"/>
      <c r="T24" s="31">
        <v>5.5</v>
      </c>
      <c r="U24" s="106" t="s">
        <v>108</v>
      </c>
      <c r="V24" s="21"/>
      <c r="X24" s="146">
        <v>8</v>
      </c>
      <c r="Y24" s="170" t="s">
        <v>108</v>
      </c>
      <c r="Z24" s="29"/>
      <c r="AB24" s="146">
        <f>5.76+0.5</f>
        <v>6.26</v>
      </c>
      <c r="AC24" s="170" t="s">
        <v>109</v>
      </c>
      <c r="AD24" s="21"/>
      <c r="AF24" s="90">
        <v>4.5</v>
      </c>
      <c r="AG24" s="109" t="s">
        <v>108</v>
      </c>
      <c r="AH24" s="92"/>
      <c r="AJ24" s="47">
        <v>5.5</v>
      </c>
      <c r="AK24" s="106" t="s">
        <v>108</v>
      </c>
      <c r="AL24" s="29"/>
    </row>
    <row r="25" ht="40" customHeight="1" spans="1:38">
      <c r="A25" s="26" t="s">
        <v>110</v>
      </c>
      <c r="B25" s="20" t="s">
        <v>72</v>
      </c>
      <c r="C25" s="21" t="s">
        <v>111</v>
      </c>
      <c r="D25" s="50">
        <v>11</v>
      </c>
      <c r="E25" s="53"/>
      <c r="F25" s="54"/>
      <c r="G25" s="25"/>
      <c r="H25" s="50"/>
      <c r="I25" s="53"/>
      <c r="J25" s="54"/>
      <c r="L25" s="90">
        <v>10</v>
      </c>
      <c r="M25" s="91"/>
      <c r="N25" s="92"/>
      <c r="O25" s="93"/>
      <c r="P25" s="88" t="s">
        <v>16</v>
      </c>
      <c r="Q25" s="91"/>
      <c r="R25" s="92"/>
      <c r="S25" s="25"/>
      <c r="T25" s="31"/>
      <c r="U25" s="28"/>
      <c r="V25" s="29"/>
      <c r="X25" s="31"/>
      <c r="Y25" s="28"/>
      <c r="Z25" s="29"/>
      <c r="AB25" s="31">
        <v>11</v>
      </c>
      <c r="AC25" s="28"/>
      <c r="AD25" s="29"/>
      <c r="AF25" s="90">
        <v>10</v>
      </c>
      <c r="AG25" s="91"/>
      <c r="AH25" s="92"/>
      <c r="AJ25" s="50"/>
      <c r="AK25" s="53"/>
      <c r="AL25" s="54"/>
    </row>
    <row r="26" ht="24" customHeight="1" spans="1:38">
      <c r="A26" s="26"/>
      <c r="B26" s="20" t="s">
        <v>22</v>
      </c>
      <c r="C26" s="21" t="s">
        <v>23</v>
      </c>
      <c r="D26" s="27" t="s">
        <v>112</v>
      </c>
      <c r="E26" s="28" t="s">
        <v>24</v>
      </c>
      <c r="F26" s="29"/>
      <c r="G26" s="25"/>
      <c r="H26" s="30" t="s">
        <v>113</v>
      </c>
      <c r="I26" s="57" t="s">
        <v>114</v>
      </c>
      <c r="J26" s="110"/>
      <c r="L26" s="90" t="s">
        <v>115</v>
      </c>
      <c r="M26" s="91" t="s">
        <v>116</v>
      </c>
      <c r="N26" s="92"/>
      <c r="O26" s="93"/>
      <c r="P26" s="88" t="s">
        <v>117</v>
      </c>
      <c r="Q26" s="91" t="s">
        <v>116</v>
      </c>
      <c r="R26" s="92"/>
      <c r="S26" s="25"/>
      <c r="T26" s="30">
        <v>1</v>
      </c>
      <c r="U26" s="57" t="s">
        <v>114</v>
      </c>
      <c r="V26" s="110"/>
      <c r="X26" s="30" t="s">
        <v>113</v>
      </c>
      <c r="Y26" s="57" t="s">
        <v>114</v>
      </c>
      <c r="Z26" s="110"/>
      <c r="AB26" s="30" t="s">
        <v>113</v>
      </c>
      <c r="AC26" s="57" t="s">
        <v>114</v>
      </c>
      <c r="AD26" s="110"/>
      <c r="AF26" s="90" t="s">
        <v>115</v>
      </c>
      <c r="AG26" s="91" t="s">
        <v>116</v>
      </c>
      <c r="AH26" s="92"/>
      <c r="AJ26" s="30" t="s">
        <v>118</v>
      </c>
      <c r="AK26" s="57" t="s">
        <v>114</v>
      </c>
      <c r="AL26" s="110"/>
    </row>
    <row r="27" ht="21" customHeight="1" spans="1:38">
      <c r="A27" s="26"/>
      <c r="B27" s="20" t="s">
        <v>22</v>
      </c>
      <c r="C27" s="29"/>
      <c r="D27" s="27" t="s">
        <v>119</v>
      </c>
      <c r="E27" s="28" t="s">
        <v>25</v>
      </c>
      <c r="F27" s="29"/>
      <c r="G27" s="25"/>
      <c r="H27" s="22"/>
      <c r="I27" s="52"/>
      <c r="J27" s="111"/>
      <c r="K27" s="25"/>
      <c r="L27" s="90"/>
      <c r="M27" s="91"/>
      <c r="N27" s="92"/>
      <c r="O27" s="93"/>
      <c r="P27" s="88"/>
      <c r="Q27" s="91"/>
      <c r="R27" s="92"/>
      <c r="S27" s="25"/>
      <c r="T27" s="22" t="s">
        <v>29</v>
      </c>
      <c r="U27" s="52"/>
      <c r="V27" s="111"/>
      <c r="X27" s="22"/>
      <c r="Y27" s="52"/>
      <c r="Z27" s="111"/>
      <c r="AB27" s="22"/>
      <c r="AC27" s="52"/>
      <c r="AD27" s="111"/>
      <c r="AF27" s="90"/>
      <c r="AG27" s="91"/>
      <c r="AH27" s="92"/>
      <c r="AJ27" s="22"/>
      <c r="AK27" s="52"/>
      <c r="AL27" s="111"/>
    </row>
    <row r="28" s="6" customFormat="1" ht="32" customHeight="1" spans="1:38">
      <c r="A28" s="26"/>
      <c r="B28" s="20" t="s">
        <v>70</v>
      </c>
      <c r="C28" s="21" t="s">
        <v>120</v>
      </c>
      <c r="D28" s="31">
        <v>0.45</v>
      </c>
      <c r="E28" s="20" t="s">
        <v>121</v>
      </c>
      <c r="F28" s="54"/>
      <c r="G28" s="25"/>
      <c r="H28" s="31">
        <v>0.45</v>
      </c>
      <c r="I28" s="20" t="s">
        <v>121</v>
      </c>
      <c r="J28" s="54"/>
      <c r="K28" s="25"/>
      <c r="L28" s="90">
        <v>0.4</v>
      </c>
      <c r="M28" s="103"/>
      <c r="N28" s="104"/>
      <c r="O28" s="87"/>
      <c r="P28" s="88">
        <v>0.48</v>
      </c>
      <c r="Q28" s="143"/>
      <c r="R28" s="144"/>
      <c r="S28" s="25"/>
      <c r="T28" s="31">
        <v>0.35</v>
      </c>
      <c r="U28" s="28" t="s">
        <v>121</v>
      </c>
      <c r="V28" s="29"/>
      <c r="X28" s="27">
        <v>0.5</v>
      </c>
      <c r="Y28" s="28" t="s">
        <v>121</v>
      </c>
      <c r="Z28" s="29"/>
      <c r="AB28" s="47">
        <v>0.5</v>
      </c>
      <c r="AC28" s="28" t="s">
        <v>121</v>
      </c>
      <c r="AD28" s="29"/>
      <c r="AF28" s="90">
        <v>0.4</v>
      </c>
      <c r="AG28" s="103"/>
      <c r="AH28" s="104"/>
      <c r="AJ28" s="31">
        <v>0.45</v>
      </c>
      <c r="AK28" s="20" t="s">
        <v>121</v>
      </c>
      <c r="AL28" s="54"/>
    </row>
    <row r="29" ht="20" customHeight="1" spans="1:38">
      <c r="A29" s="26"/>
      <c r="B29" s="55" t="s">
        <v>122</v>
      </c>
      <c r="C29" s="35" t="s">
        <v>123</v>
      </c>
      <c r="D29" s="50">
        <v>0.25</v>
      </c>
      <c r="E29" s="53"/>
      <c r="F29" s="54"/>
      <c r="G29" s="36"/>
      <c r="H29" s="31">
        <v>0.25</v>
      </c>
      <c r="I29" s="53"/>
      <c r="J29" s="54"/>
      <c r="L29" s="112" t="s">
        <v>29</v>
      </c>
      <c r="M29" s="103"/>
      <c r="N29" s="104"/>
      <c r="O29" s="87"/>
      <c r="P29" s="105" t="s">
        <v>29</v>
      </c>
      <c r="Q29" s="143"/>
      <c r="R29" s="144"/>
      <c r="S29" s="25"/>
      <c r="T29" s="47">
        <v>0.5</v>
      </c>
      <c r="U29" s="148"/>
      <c r="V29" s="149"/>
      <c r="X29" s="50">
        <v>0.25</v>
      </c>
      <c r="Y29" s="148"/>
      <c r="Z29" s="149"/>
      <c r="AB29" s="50">
        <v>0.25</v>
      </c>
      <c r="AC29" s="148"/>
      <c r="AD29" s="149"/>
      <c r="AF29" s="112" t="s">
        <v>29</v>
      </c>
      <c r="AG29" s="103"/>
      <c r="AH29" s="104"/>
      <c r="AJ29" s="31">
        <v>0.25</v>
      </c>
      <c r="AK29" s="53"/>
      <c r="AL29" s="54"/>
    </row>
    <row r="30" ht="35" customHeight="1" spans="1:38">
      <c r="A30" s="26"/>
      <c r="B30" s="20" t="s">
        <v>72</v>
      </c>
      <c r="C30" s="21" t="s">
        <v>73</v>
      </c>
      <c r="D30" s="27">
        <v>20</v>
      </c>
      <c r="E30" s="20" t="s">
        <v>74</v>
      </c>
      <c r="F30" s="54"/>
      <c r="G30" s="36"/>
      <c r="H30" s="31">
        <v>15</v>
      </c>
      <c r="I30" s="20" t="s">
        <v>74</v>
      </c>
      <c r="J30" s="54"/>
      <c r="K30" s="113"/>
      <c r="L30" s="90">
        <v>15</v>
      </c>
      <c r="M30" s="91" t="s">
        <v>124</v>
      </c>
      <c r="N30" s="92"/>
      <c r="O30" s="93"/>
      <c r="P30" s="88">
        <v>18</v>
      </c>
      <c r="Q30" s="137" t="s">
        <v>125</v>
      </c>
      <c r="R30" s="150"/>
      <c r="S30" s="36"/>
      <c r="T30" s="47">
        <v>15</v>
      </c>
      <c r="U30" s="151" t="s">
        <v>126</v>
      </c>
      <c r="V30" s="152"/>
      <c r="W30" s="7"/>
      <c r="X30" s="50">
        <v>15</v>
      </c>
      <c r="Y30" s="28" t="s">
        <v>74</v>
      </c>
      <c r="Z30" s="29"/>
      <c r="AB30" s="50">
        <v>15</v>
      </c>
      <c r="AC30" s="28" t="s">
        <v>74</v>
      </c>
      <c r="AD30" s="29"/>
      <c r="AF30" s="90">
        <v>15</v>
      </c>
      <c r="AG30" s="91" t="s">
        <v>124</v>
      </c>
      <c r="AH30" s="92"/>
      <c r="AJ30" s="31">
        <v>15</v>
      </c>
      <c r="AK30" s="20" t="s">
        <v>74</v>
      </c>
      <c r="AL30" s="54"/>
    </row>
    <row r="31" ht="25" customHeight="1" spans="1:38">
      <c r="A31" s="26"/>
      <c r="B31" s="20" t="s">
        <v>72</v>
      </c>
      <c r="C31" s="21" t="s">
        <v>75</v>
      </c>
      <c r="D31" s="27">
        <v>8</v>
      </c>
      <c r="E31" s="20" t="s">
        <v>127</v>
      </c>
      <c r="F31" s="54"/>
      <c r="G31" s="36"/>
      <c r="H31" s="31">
        <v>5.5</v>
      </c>
      <c r="I31" s="20" t="s">
        <v>127</v>
      </c>
      <c r="J31" s="54"/>
      <c r="K31" s="113"/>
      <c r="L31" s="90">
        <v>5</v>
      </c>
      <c r="M31" s="91" t="s">
        <v>128</v>
      </c>
      <c r="N31" s="92"/>
      <c r="O31" s="93"/>
      <c r="P31" s="88">
        <v>6</v>
      </c>
      <c r="Q31" s="137" t="s">
        <v>127</v>
      </c>
      <c r="R31" s="150"/>
      <c r="S31" s="36"/>
      <c r="T31" s="47">
        <v>6.5</v>
      </c>
      <c r="U31" s="151" t="s">
        <v>127</v>
      </c>
      <c r="V31" s="152"/>
      <c r="W31" s="7"/>
      <c r="X31" s="27">
        <v>6.5</v>
      </c>
      <c r="Y31" s="28" t="s">
        <v>76</v>
      </c>
      <c r="Z31" s="29"/>
      <c r="AB31" s="50">
        <v>5</v>
      </c>
      <c r="AC31" s="28" t="s">
        <v>76</v>
      </c>
      <c r="AD31" s="29"/>
      <c r="AF31" s="90">
        <v>5</v>
      </c>
      <c r="AG31" s="91" t="s">
        <v>128</v>
      </c>
      <c r="AH31" s="92"/>
      <c r="AJ31" s="31">
        <v>5.5</v>
      </c>
      <c r="AK31" s="20" t="s">
        <v>127</v>
      </c>
      <c r="AL31" s="54"/>
    </row>
    <row r="32" ht="22" customHeight="1" spans="1:38">
      <c r="A32" s="56" t="s">
        <v>129</v>
      </c>
      <c r="B32" s="57" t="s">
        <v>130</v>
      </c>
      <c r="C32" s="40" t="s">
        <v>131</v>
      </c>
      <c r="D32" s="27">
        <v>0</v>
      </c>
      <c r="E32" s="58" t="s">
        <v>132</v>
      </c>
      <c r="F32" s="59" t="s">
        <v>133</v>
      </c>
      <c r="G32" s="25"/>
      <c r="H32" s="60">
        <v>0.48</v>
      </c>
      <c r="I32" s="57" t="s">
        <v>134</v>
      </c>
      <c r="J32" s="110"/>
      <c r="K32" s="25"/>
      <c r="L32" s="114">
        <v>0</v>
      </c>
      <c r="M32" s="103" t="s">
        <v>132</v>
      </c>
      <c r="N32" s="92" t="s">
        <v>135</v>
      </c>
      <c r="O32" s="93"/>
      <c r="P32" s="115">
        <v>0</v>
      </c>
      <c r="Q32" s="153" t="s">
        <v>132</v>
      </c>
      <c r="R32" s="150" t="s">
        <v>136</v>
      </c>
      <c r="S32" s="25"/>
      <c r="T32" s="30">
        <v>0.43</v>
      </c>
      <c r="U32" s="57" t="s">
        <v>134</v>
      </c>
      <c r="V32" s="110"/>
      <c r="W32" s="7"/>
      <c r="X32" s="154">
        <v>0</v>
      </c>
      <c r="Y32" s="106" t="s">
        <v>132</v>
      </c>
      <c r="Z32" s="21" t="s">
        <v>137</v>
      </c>
      <c r="AB32" s="171">
        <v>0.4</v>
      </c>
      <c r="AC32" s="106" t="s">
        <v>132</v>
      </c>
      <c r="AD32" s="21" t="s">
        <v>137</v>
      </c>
      <c r="AF32" s="114">
        <v>0</v>
      </c>
      <c r="AG32" s="103" t="s">
        <v>132</v>
      </c>
      <c r="AH32" s="96" t="s">
        <v>138</v>
      </c>
      <c r="AJ32" s="60">
        <v>0.48</v>
      </c>
      <c r="AK32" s="57" t="s">
        <v>134</v>
      </c>
      <c r="AL32" s="110"/>
    </row>
    <row r="33" customHeight="1" spans="1:38">
      <c r="A33" s="26"/>
      <c r="B33" s="48"/>
      <c r="C33" s="61"/>
      <c r="D33" s="27">
        <v>0.45</v>
      </c>
      <c r="E33" s="58" t="s">
        <v>139</v>
      </c>
      <c r="F33" s="59"/>
      <c r="G33" s="25"/>
      <c r="H33" s="62"/>
      <c r="I33" s="48"/>
      <c r="J33" s="116"/>
      <c r="K33" s="25"/>
      <c r="L33" s="114">
        <v>0.4</v>
      </c>
      <c r="M33" s="103" t="s">
        <v>139</v>
      </c>
      <c r="N33" s="92"/>
      <c r="O33" s="93"/>
      <c r="P33" s="115">
        <v>0.4</v>
      </c>
      <c r="Q33" s="153" t="s">
        <v>139</v>
      </c>
      <c r="R33" s="150"/>
      <c r="S33" s="25"/>
      <c r="T33" s="155"/>
      <c r="U33" s="48"/>
      <c r="V33" s="116"/>
      <c r="W33" s="7"/>
      <c r="X33" s="156">
        <v>0.5</v>
      </c>
      <c r="Y33" s="106" t="s">
        <v>139</v>
      </c>
      <c r="Z33" s="29"/>
      <c r="AB33" s="156">
        <v>0.45</v>
      </c>
      <c r="AC33" s="106" t="s">
        <v>139</v>
      </c>
      <c r="AD33" s="29"/>
      <c r="AF33" s="114">
        <v>0.4</v>
      </c>
      <c r="AG33" s="103" t="s">
        <v>139</v>
      </c>
      <c r="AH33" s="92"/>
      <c r="AJ33" s="62"/>
      <c r="AK33" s="48"/>
      <c r="AL33" s="116"/>
    </row>
    <row r="34" customHeight="1" spans="1:38">
      <c r="A34" s="26"/>
      <c r="B34" s="48"/>
      <c r="C34" s="61"/>
      <c r="D34" s="27">
        <v>0.65</v>
      </c>
      <c r="E34" s="58" t="s">
        <v>140</v>
      </c>
      <c r="F34" s="59"/>
      <c r="G34" s="25"/>
      <c r="H34" s="62"/>
      <c r="I34" s="48"/>
      <c r="J34" s="116"/>
      <c r="K34" s="25"/>
      <c r="L34" s="114">
        <v>0.5</v>
      </c>
      <c r="M34" s="103" t="s">
        <v>140</v>
      </c>
      <c r="N34" s="92"/>
      <c r="O34" s="93"/>
      <c r="P34" s="115">
        <v>0.5</v>
      </c>
      <c r="Q34" s="153" t="s">
        <v>140</v>
      </c>
      <c r="R34" s="150"/>
      <c r="S34" s="25"/>
      <c r="T34" s="155"/>
      <c r="U34" s="48"/>
      <c r="V34" s="116"/>
      <c r="W34" s="7"/>
      <c r="X34" s="156">
        <v>0.8</v>
      </c>
      <c r="Y34" s="106" t="s">
        <v>140</v>
      </c>
      <c r="Z34" s="29"/>
      <c r="AB34" s="156">
        <v>0.48</v>
      </c>
      <c r="AC34" s="106" t="s">
        <v>140</v>
      </c>
      <c r="AD34" s="29"/>
      <c r="AF34" s="114">
        <v>0.5</v>
      </c>
      <c r="AG34" s="103" t="s">
        <v>140</v>
      </c>
      <c r="AH34" s="92"/>
      <c r="AJ34" s="62"/>
      <c r="AK34" s="48"/>
      <c r="AL34" s="116"/>
    </row>
    <row r="35" s="6" customFormat="1" customHeight="1" spans="1:38">
      <c r="A35" s="26"/>
      <c r="B35" s="48"/>
      <c r="C35" s="61"/>
      <c r="D35" s="27">
        <v>0.81</v>
      </c>
      <c r="E35" s="58" t="s">
        <v>141</v>
      </c>
      <c r="F35" s="59"/>
      <c r="G35" s="25"/>
      <c r="H35" s="62"/>
      <c r="I35" s="48"/>
      <c r="J35" s="116"/>
      <c r="K35" s="25"/>
      <c r="L35" s="114">
        <v>0.75</v>
      </c>
      <c r="M35" s="103" t="s">
        <v>142</v>
      </c>
      <c r="N35" s="92"/>
      <c r="O35" s="93"/>
      <c r="P35" s="115">
        <v>0.75</v>
      </c>
      <c r="Q35" s="153" t="s">
        <v>142</v>
      </c>
      <c r="R35" s="150"/>
      <c r="S35" s="25"/>
      <c r="T35" s="155"/>
      <c r="U35" s="48"/>
      <c r="V35" s="116"/>
      <c r="W35" s="7"/>
      <c r="X35" s="156">
        <v>1.2</v>
      </c>
      <c r="Y35" s="106" t="s">
        <v>142</v>
      </c>
      <c r="Z35" s="29"/>
      <c r="AB35" s="171">
        <v>0.9</v>
      </c>
      <c r="AC35" s="106" t="s">
        <v>142</v>
      </c>
      <c r="AD35" s="29"/>
      <c r="AF35" s="114">
        <v>0.75</v>
      </c>
      <c r="AG35" s="103" t="s">
        <v>142</v>
      </c>
      <c r="AH35" s="92"/>
      <c r="AJ35" s="62"/>
      <c r="AK35" s="48"/>
      <c r="AL35" s="116"/>
    </row>
    <row r="36" s="6" customFormat="1" customHeight="1" spans="1:38">
      <c r="A36" s="26"/>
      <c r="B36" s="48"/>
      <c r="C36" s="61"/>
      <c r="D36" s="27">
        <v>0.98</v>
      </c>
      <c r="E36" s="58" t="s">
        <v>143</v>
      </c>
      <c r="F36" s="59"/>
      <c r="G36" s="25"/>
      <c r="H36" s="62"/>
      <c r="I36" s="48"/>
      <c r="J36" s="116"/>
      <c r="K36" s="25"/>
      <c r="L36" s="114">
        <v>1</v>
      </c>
      <c r="M36" s="103" t="s">
        <v>144</v>
      </c>
      <c r="N36" s="92"/>
      <c r="O36" s="93"/>
      <c r="P36" s="115">
        <v>1</v>
      </c>
      <c r="Q36" s="153" t="s">
        <v>144</v>
      </c>
      <c r="R36" s="150"/>
      <c r="S36" s="25"/>
      <c r="T36" s="155"/>
      <c r="U36" s="48"/>
      <c r="V36" s="116"/>
      <c r="W36" s="7"/>
      <c r="X36" s="156">
        <v>1.7</v>
      </c>
      <c r="Y36" s="106" t="s">
        <v>145</v>
      </c>
      <c r="Z36" s="29"/>
      <c r="AB36" s="171">
        <v>1.2</v>
      </c>
      <c r="AC36" s="106" t="s">
        <v>145</v>
      </c>
      <c r="AD36" s="29"/>
      <c r="AF36" s="114">
        <v>1</v>
      </c>
      <c r="AG36" s="103" t="s">
        <v>144</v>
      </c>
      <c r="AH36" s="92"/>
      <c r="AJ36" s="62"/>
      <c r="AK36" s="48"/>
      <c r="AL36" s="116"/>
    </row>
    <row r="37" s="6" customFormat="1" customHeight="1" spans="1:38">
      <c r="A37" s="26"/>
      <c r="B37" s="48"/>
      <c r="C37" s="61"/>
      <c r="D37" s="27">
        <v>1.18</v>
      </c>
      <c r="E37" s="63" t="s">
        <v>146</v>
      </c>
      <c r="F37" s="59"/>
      <c r="G37" s="25"/>
      <c r="H37" s="64"/>
      <c r="I37" s="52"/>
      <c r="J37" s="111"/>
      <c r="K37" s="25"/>
      <c r="L37" s="114"/>
      <c r="M37" s="103"/>
      <c r="N37" s="92"/>
      <c r="O37" s="93"/>
      <c r="P37" s="117"/>
      <c r="Q37" s="106"/>
      <c r="R37" s="145"/>
      <c r="S37" s="25"/>
      <c r="T37" s="22"/>
      <c r="U37" s="52"/>
      <c r="V37" s="111"/>
      <c r="W37" s="6"/>
      <c r="X37" s="154"/>
      <c r="Y37" s="148"/>
      <c r="Z37" s="149"/>
      <c r="AB37" s="154"/>
      <c r="AC37" s="148"/>
      <c r="AD37" s="149"/>
      <c r="AF37" s="114"/>
      <c r="AG37" s="103"/>
      <c r="AH37" s="92"/>
      <c r="AJ37" s="64"/>
      <c r="AK37" s="52"/>
      <c r="AL37" s="111"/>
    </row>
    <row r="38" s="6" customFormat="1" customHeight="1" spans="1:38">
      <c r="A38" s="26"/>
      <c r="B38" s="48"/>
      <c r="C38" s="61"/>
      <c r="D38" s="27">
        <v>1.8</v>
      </c>
      <c r="E38" s="58" t="s">
        <v>147</v>
      </c>
      <c r="F38" s="59"/>
      <c r="G38" s="7"/>
      <c r="H38" s="64"/>
      <c r="I38" s="52"/>
      <c r="J38" s="111"/>
      <c r="K38" s="25"/>
      <c r="L38" s="114"/>
      <c r="M38" s="103"/>
      <c r="N38" s="92"/>
      <c r="O38" s="93"/>
      <c r="P38" s="117"/>
      <c r="Q38" s="106"/>
      <c r="R38" s="145"/>
      <c r="S38" s="25"/>
      <c r="T38" s="22"/>
      <c r="U38" s="52"/>
      <c r="V38" s="111"/>
      <c r="W38" s="6"/>
      <c r="X38" s="154"/>
      <c r="Y38" s="148"/>
      <c r="Z38" s="149"/>
      <c r="AB38" s="154"/>
      <c r="AC38" s="148"/>
      <c r="AD38" s="149"/>
      <c r="AF38" s="114"/>
      <c r="AG38" s="103"/>
      <c r="AH38" s="92"/>
      <c r="AJ38" s="64"/>
      <c r="AK38" s="52"/>
      <c r="AL38" s="111"/>
    </row>
    <row r="39" s="6" customFormat="1" customHeight="1" spans="1:38">
      <c r="A39" s="51"/>
      <c r="B39" s="52"/>
      <c r="C39" s="65"/>
      <c r="D39" s="27">
        <v>2.5</v>
      </c>
      <c r="E39" s="58" t="s">
        <v>148</v>
      </c>
      <c r="F39" s="59"/>
      <c r="G39" s="7"/>
      <c r="H39" s="64"/>
      <c r="I39" s="52"/>
      <c r="J39" s="111"/>
      <c r="K39" s="25"/>
      <c r="L39" s="114"/>
      <c r="M39" s="103"/>
      <c r="N39" s="92"/>
      <c r="O39" s="93"/>
      <c r="P39" s="117"/>
      <c r="Q39" s="106"/>
      <c r="R39" s="145"/>
      <c r="S39" s="25"/>
      <c r="T39" s="22"/>
      <c r="U39" s="52"/>
      <c r="V39" s="111"/>
      <c r="W39" s="6"/>
      <c r="X39" s="154"/>
      <c r="Y39" s="148"/>
      <c r="Z39" s="149"/>
      <c r="AB39" s="154"/>
      <c r="AC39" s="148"/>
      <c r="AD39" s="149"/>
      <c r="AF39" s="114"/>
      <c r="AG39" s="103"/>
      <c r="AH39" s="92"/>
      <c r="AJ39" s="64"/>
      <c r="AK39" s="52"/>
      <c r="AL39" s="111"/>
    </row>
    <row r="40" s="6" customFormat="1" ht="19" customHeight="1" spans="1:38">
      <c r="A40" s="66" t="s">
        <v>149</v>
      </c>
      <c r="B40" s="28"/>
      <c r="C40" s="21" t="s">
        <v>150</v>
      </c>
      <c r="D40" s="31">
        <v>0.45</v>
      </c>
      <c r="E40" s="28" t="s">
        <v>121</v>
      </c>
      <c r="F40" s="29"/>
      <c r="G40" s="25"/>
      <c r="H40" s="31">
        <v>0.45</v>
      </c>
      <c r="I40" s="53" t="s">
        <v>121</v>
      </c>
      <c r="J40" s="54"/>
      <c r="K40" s="25"/>
      <c r="L40" s="90">
        <v>0.4</v>
      </c>
      <c r="M40" s="91" t="s">
        <v>151</v>
      </c>
      <c r="N40" s="92"/>
      <c r="O40" s="93"/>
      <c r="P40" s="88">
        <v>0.48</v>
      </c>
      <c r="Q40" s="137" t="s">
        <v>152</v>
      </c>
      <c r="R40" s="150"/>
      <c r="S40" s="25"/>
      <c r="T40" s="31">
        <v>0.35</v>
      </c>
      <c r="U40" s="28" t="s">
        <v>121</v>
      </c>
      <c r="V40" s="29"/>
      <c r="W40" s="7"/>
      <c r="X40" s="27">
        <v>0.5</v>
      </c>
      <c r="Y40" s="28" t="s">
        <v>121</v>
      </c>
      <c r="Z40" s="29"/>
      <c r="AB40" s="47">
        <v>0.5</v>
      </c>
      <c r="AC40" s="28" t="s">
        <v>121</v>
      </c>
      <c r="AD40" s="29"/>
      <c r="AF40" s="90">
        <v>0.4</v>
      </c>
      <c r="AG40" s="91" t="s">
        <v>151</v>
      </c>
      <c r="AH40" s="92"/>
      <c r="AJ40" s="31">
        <v>0.45</v>
      </c>
      <c r="AK40" s="53" t="s">
        <v>121</v>
      </c>
      <c r="AL40" s="54"/>
    </row>
    <row r="41" s="6" customFormat="1" ht="19" customHeight="1" spans="1:38">
      <c r="A41" s="67"/>
      <c r="B41" s="32" t="s">
        <v>153</v>
      </c>
      <c r="C41" s="21" t="s">
        <v>154</v>
      </c>
      <c r="D41" s="31">
        <v>30</v>
      </c>
      <c r="E41" s="28"/>
      <c r="F41" s="29"/>
      <c r="G41" s="25"/>
      <c r="H41" s="31">
        <v>30</v>
      </c>
      <c r="I41" s="53"/>
      <c r="J41" s="54"/>
      <c r="K41" s="8"/>
      <c r="L41" s="90">
        <v>28</v>
      </c>
      <c r="M41" s="118"/>
      <c r="N41" s="119"/>
      <c r="O41" s="120"/>
      <c r="P41" s="88">
        <v>30</v>
      </c>
      <c r="Q41" s="143"/>
      <c r="R41" s="144"/>
      <c r="S41" s="25"/>
      <c r="T41" s="31">
        <v>30</v>
      </c>
      <c r="U41" s="28"/>
      <c r="V41" s="29"/>
      <c r="W41" s="157"/>
      <c r="X41" s="31">
        <v>30</v>
      </c>
      <c r="Y41" s="106"/>
      <c r="Z41" s="145"/>
      <c r="AB41" s="31">
        <v>30</v>
      </c>
      <c r="AC41" s="106"/>
      <c r="AD41" s="145"/>
      <c r="AF41" s="90">
        <v>28</v>
      </c>
      <c r="AG41" s="118"/>
      <c r="AH41" s="119"/>
      <c r="AJ41" s="31">
        <v>30</v>
      </c>
      <c r="AK41" s="53"/>
      <c r="AL41" s="54"/>
    </row>
    <row r="42" s="6" customFormat="1" ht="19" customHeight="1" spans="1:38">
      <c r="A42" s="67"/>
      <c r="B42" s="28" t="s">
        <v>155</v>
      </c>
      <c r="C42" s="21" t="s">
        <v>156</v>
      </c>
      <c r="D42" s="31">
        <v>0.25</v>
      </c>
      <c r="E42" s="28"/>
      <c r="F42" s="29"/>
      <c r="G42" s="25"/>
      <c r="H42" s="31">
        <v>0.25</v>
      </c>
      <c r="I42" s="53"/>
      <c r="J42" s="54"/>
      <c r="K42" s="8"/>
      <c r="L42" s="94" t="s">
        <v>157</v>
      </c>
      <c r="M42" s="118"/>
      <c r="N42" s="119"/>
      <c r="O42" s="120"/>
      <c r="P42" s="112" t="s">
        <v>158</v>
      </c>
      <c r="Q42" s="143"/>
      <c r="R42" s="144"/>
      <c r="S42" s="25"/>
      <c r="T42" s="31">
        <v>0.5</v>
      </c>
      <c r="U42" s="28"/>
      <c r="V42" s="29"/>
      <c r="W42" s="157"/>
      <c r="X42" s="31">
        <v>0.25</v>
      </c>
      <c r="Y42" s="106"/>
      <c r="Z42" s="145"/>
      <c r="AB42" s="31">
        <v>0.25</v>
      </c>
      <c r="AC42" s="106"/>
      <c r="AD42" s="145"/>
      <c r="AF42" s="94" t="s">
        <v>157</v>
      </c>
      <c r="AG42" s="118"/>
      <c r="AH42" s="119"/>
      <c r="AJ42" s="177">
        <v>0.25</v>
      </c>
      <c r="AK42" s="20" t="s">
        <v>159</v>
      </c>
      <c r="AL42" s="54"/>
    </row>
    <row r="43" s="6" customFormat="1" ht="28" customHeight="1" spans="1:38">
      <c r="A43" s="67"/>
      <c r="B43" s="32" t="s">
        <v>160</v>
      </c>
      <c r="C43" s="21" t="s">
        <v>161</v>
      </c>
      <c r="D43" s="27">
        <v>0.8</v>
      </c>
      <c r="E43" s="32" t="s">
        <v>162</v>
      </c>
      <c r="F43" s="29"/>
      <c r="G43" s="25"/>
      <c r="H43" s="31">
        <v>0.4</v>
      </c>
      <c r="I43" s="53" t="s">
        <v>163</v>
      </c>
      <c r="J43" s="54"/>
      <c r="K43" s="8"/>
      <c r="L43" s="90">
        <v>0.4</v>
      </c>
      <c r="M43" s="103"/>
      <c r="N43" s="104"/>
      <c r="O43" s="87"/>
      <c r="P43" s="88">
        <v>0.48</v>
      </c>
      <c r="Q43" s="143"/>
      <c r="R43" s="144"/>
      <c r="S43" s="25"/>
      <c r="T43" s="31">
        <v>0.5</v>
      </c>
      <c r="U43" s="53" t="s">
        <v>163</v>
      </c>
      <c r="V43" s="54"/>
      <c r="X43" s="31">
        <v>0.4</v>
      </c>
      <c r="Y43" s="53" t="s">
        <v>163</v>
      </c>
      <c r="Z43" s="54"/>
      <c r="AB43" s="31">
        <v>0.4</v>
      </c>
      <c r="AC43" s="53" t="s">
        <v>163</v>
      </c>
      <c r="AD43" s="54"/>
      <c r="AF43" s="90">
        <v>0.4</v>
      </c>
      <c r="AG43" s="103"/>
      <c r="AH43" s="104"/>
      <c r="AJ43" s="31">
        <v>0.4</v>
      </c>
      <c r="AK43" s="53" t="s">
        <v>163</v>
      </c>
      <c r="AL43" s="54"/>
    </row>
    <row r="44" ht="49" customHeight="1" spans="1:38">
      <c r="A44" s="67"/>
      <c r="B44" s="28" t="s">
        <v>164</v>
      </c>
      <c r="C44" s="21" t="s">
        <v>165</v>
      </c>
      <c r="D44" s="31">
        <v>4</v>
      </c>
      <c r="E44" s="28" t="s">
        <v>166</v>
      </c>
      <c r="F44" s="29"/>
      <c r="G44" s="25"/>
      <c r="H44" s="31">
        <v>4</v>
      </c>
      <c r="I44" s="53" t="s">
        <v>166</v>
      </c>
      <c r="J44" s="54"/>
      <c r="L44" s="90">
        <v>4</v>
      </c>
      <c r="M44" s="91" t="s">
        <v>167</v>
      </c>
      <c r="N44" s="92"/>
      <c r="O44" s="93"/>
      <c r="P44" s="88">
        <v>4.5</v>
      </c>
      <c r="Q44" s="137" t="s">
        <v>168</v>
      </c>
      <c r="R44" s="150"/>
      <c r="S44" s="25"/>
      <c r="T44" s="31">
        <v>5</v>
      </c>
      <c r="U44" s="53" t="s">
        <v>166</v>
      </c>
      <c r="V44" s="54"/>
      <c r="W44" s="7"/>
      <c r="X44" s="31">
        <v>4</v>
      </c>
      <c r="Y44" s="53" t="s">
        <v>166</v>
      </c>
      <c r="Z44" s="54"/>
      <c r="AB44" s="31">
        <v>4</v>
      </c>
      <c r="AC44" s="53" t="s">
        <v>166</v>
      </c>
      <c r="AD44" s="54"/>
      <c r="AF44" s="90">
        <v>4</v>
      </c>
      <c r="AG44" s="91" t="s">
        <v>167</v>
      </c>
      <c r="AH44" s="92"/>
      <c r="AJ44" s="31">
        <v>4</v>
      </c>
      <c r="AK44" s="53" t="s">
        <v>166</v>
      </c>
      <c r="AL44" s="54"/>
    </row>
    <row r="45" ht="25" customHeight="1" spans="1:38">
      <c r="A45" s="67"/>
      <c r="B45" s="28" t="s">
        <v>164</v>
      </c>
      <c r="C45" s="29" t="s">
        <v>169</v>
      </c>
      <c r="D45" s="31">
        <v>4</v>
      </c>
      <c r="E45" s="53"/>
      <c r="F45" s="54"/>
      <c r="G45" s="25"/>
      <c r="H45" s="31">
        <v>4</v>
      </c>
      <c r="I45" s="53"/>
      <c r="J45" s="54"/>
      <c r="L45" s="90">
        <v>4</v>
      </c>
      <c r="M45" s="103"/>
      <c r="N45" s="104"/>
      <c r="O45" s="87"/>
      <c r="P45" s="88">
        <v>4.5</v>
      </c>
      <c r="Q45" s="143"/>
      <c r="R45" s="144"/>
      <c r="S45" s="25"/>
      <c r="T45" s="31">
        <v>5</v>
      </c>
      <c r="U45" s="53"/>
      <c r="V45" s="54"/>
      <c r="X45" s="31">
        <v>4</v>
      </c>
      <c r="Y45" s="53"/>
      <c r="Z45" s="54"/>
      <c r="AB45" s="31">
        <v>4</v>
      </c>
      <c r="AC45" s="53"/>
      <c r="AD45" s="54"/>
      <c r="AF45" s="90">
        <v>4</v>
      </c>
      <c r="AG45" s="103"/>
      <c r="AH45" s="104"/>
      <c r="AJ45" s="31">
        <v>4</v>
      </c>
      <c r="AK45" s="53"/>
      <c r="AL45" s="54"/>
    </row>
    <row r="46" ht="19" customHeight="1" spans="1:38">
      <c r="A46" s="67"/>
      <c r="B46" s="28"/>
      <c r="C46" s="21" t="s">
        <v>170</v>
      </c>
      <c r="D46" s="31" t="s">
        <v>171</v>
      </c>
      <c r="E46" s="53"/>
      <c r="F46" s="54"/>
      <c r="G46" s="25"/>
      <c r="H46" s="31" t="s">
        <v>171</v>
      </c>
      <c r="I46" s="53"/>
      <c r="J46" s="54"/>
      <c r="L46" s="90" t="s">
        <v>172</v>
      </c>
      <c r="M46" s="103"/>
      <c r="N46" s="104"/>
      <c r="O46" s="87"/>
      <c r="P46" s="90" t="s">
        <v>173</v>
      </c>
      <c r="Q46" s="143"/>
      <c r="R46" s="144"/>
      <c r="S46" s="25"/>
      <c r="T46" s="31" t="s">
        <v>171</v>
      </c>
      <c r="U46" s="53"/>
      <c r="V46" s="54"/>
      <c r="X46" s="31" t="s">
        <v>171</v>
      </c>
      <c r="Y46" s="53"/>
      <c r="Z46" s="54"/>
      <c r="AB46" s="31" t="s">
        <v>171</v>
      </c>
      <c r="AC46" s="53"/>
      <c r="AD46" s="54"/>
      <c r="AF46" s="90" t="s">
        <v>172</v>
      </c>
      <c r="AG46" s="103"/>
      <c r="AH46" s="104"/>
      <c r="AJ46" s="31" t="s">
        <v>171</v>
      </c>
      <c r="AK46" s="53"/>
      <c r="AL46" s="54"/>
    </row>
    <row r="47" ht="39" customHeight="1" spans="1:38">
      <c r="A47" s="67"/>
      <c r="B47" s="32" t="s">
        <v>174</v>
      </c>
      <c r="C47" s="21" t="s">
        <v>175</v>
      </c>
      <c r="D47" s="31">
        <v>0.1</v>
      </c>
      <c r="E47" s="53" t="s">
        <v>176</v>
      </c>
      <c r="F47" s="54"/>
      <c r="G47" s="25"/>
      <c r="H47" s="31">
        <v>0.1</v>
      </c>
      <c r="I47" s="53" t="s">
        <v>176</v>
      </c>
      <c r="J47" s="54"/>
      <c r="L47" s="121">
        <v>0.1</v>
      </c>
      <c r="M47" s="91" t="s">
        <v>177</v>
      </c>
      <c r="N47" s="92"/>
      <c r="O47" s="93"/>
      <c r="P47" s="88">
        <v>0.12</v>
      </c>
      <c r="Q47" s="95" t="s">
        <v>177</v>
      </c>
      <c r="R47" s="92"/>
      <c r="S47" s="25"/>
      <c r="T47" s="31">
        <v>0.2</v>
      </c>
      <c r="U47" s="53" t="s">
        <v>176</v>
      </c>
      <c r="V47" s="54"/>
      <c r="W47" s="7"/>
      <c r="X47" s="158">
        <v>0.1</v>
      </c>
      <c r="Y47" s="53" t="s">
        <v>176</v>
      </c>
      <c r="Z47" s="54"/>
      <c r="AB47" s="158">
        <v>0.1</v>
      </c>
      <c r="AC47" s="53" t="s">
        <v>176</v>
      </c>
      <c r="AD47" s="54"/>
      <c r="AF47" s="121">
        <v>0.1</v>
      </c>
      <c r="AG47" s="91" t="s">
        <v>177</v>
      </c>
      <c r="AH47" s="92"/>
      <c r="AJ47" s="31">
        <v>0.1</v>
      </c>
      <c r="AK47" s="53" t="s">
        <v>176</v>
      </c>
      <c r="AL47" s="54"/>
    </row>
    <row r="48" customHeight="1" spans="1:38">
      <c r="A48" s="67"/>
      <c r="B48" s="28" t="s">
        <v>178</v>
      </c>
      <c r="C48" s="21" t="s">
        <v>179</v>
      </c>
      <c r="D48" s="31" t="s">
        <v>171</v>
      </c>
      <c r="E48" s="53"/>
      <c r="F48" s="54"/>
      <c r="G48" s="25"/>
      <c r="H48" s="31" t="s">
        <v>171</v>
      </c>
      <c r="I48" s="53"/>
      <c r="J48" s="54"/>
      <c r="L48" s="90" t="s">
        <v>172</v>
      </c>
      <c r="M48" s="103"/>
      <c r="N48" s="104"/>
      <c r="O48" s="87"/>
      <c r="P48" s="90" t="s">
        <v>173</v>
      </c>
      <c r="Q48" s="143"/>
      <c r="R48" s="144"/>
      <c r="S48" s="25"/>
      <c r="T48" s="31" t="s">
        <v>171</v>
      </c>
      <c r="U48" s="28"/>
      <c r="V48" s="29"/>
      <c r="X48" s="31" t="s">
        <v>171</v>
      </c>
      <c r="Y48" s="106"/>
      <c r="Z48" s="145"/>
      <c r="AB48" s="31" t="s">
        <v>171</v>
      </c>
      <c r="AC48" s="106"/>
      <c r="AD48" s="145"/>
      <c r="AF48" s="90" t="s">
        <v>172</v>
      </c>
      <c r="AG48" s="103"/>
      <c r="AH48" s="104"/>
      <c r="AJ48" s="31" t="s">
        <v>171</v>
      </c>
      <c r="AK48" s="53"/>
      <c r="AL48" s="54"/>
    </row>
    <row r="49" ht="19" customHeight="1" spans="1:38">
      <c r="A49" s="67"/>
      <c r="B49" s="28" t="s">
        <v>178</v>
      </c>
      <c r="C49" s="21" t="s">
        <v>180</v>
      </c>
      <c r="D49" s="68" t="s">
        <v>181</v>
      </c>
      <c r="E49" s="69"/>
      <c r="F49" s="70"/>
      <c r="G49" s="25"/>
      <c r="H49" s="31" t="s">
        <v>181</v>
      </c>
      <c r="I49" s="28"/>
      <c r="J49" s="28"/>
      <c r="L49" s="122" t="s">
        <v>182</v>
      </c>
      <c r="M49" s="123"/>
      <c r="N49" s="124"/>
      <c r="O49" s="87"/>
      <c r="P49" s="90" t="s">
        <v>183</v>
      </c>
      <c r="Q49" s="143"/>
      <c r="R49" s="144"/>
      <c r="S49" s="25"/>
      <c r="T49" s="68" t="s">
        <v>181</v>
      </c>
      <c r="U49" s="69"/>
      <c r="V49" s="70"/>
      <c r="X49" s="68" t="s">
        <v>181</v>
      </c>
      <c r="Y49" s="172"/>
      <c r="Z49" s="173"/>
      <c r="AB49" s="68" t="s">
        <v>181</v>
      </c>
      <c r="AC49" s="172"/>
      <c r="AD49" s="173"/>
      <c r="AF49" s="122" t="s">
        <v>182</v>
      </c>
      <c r="AG49" s="123"/>
      <c r="AH49" s="124"/>
      <c r="AJ49" s="31" t="s">
        <v>181</v>
      </c>
      <c r="AK49" s="28"/>
      <c r="AL49" s="28"/>
    </row>
    <row r="50" ht="76" customHeight="1" spans="1:38">
      <c r="A50" s="71"/>
      <c r="B50" s="69"/>
      <c r="C50" s="72"/>
      <c r="H50" s="73">
        <v>5</v>
      </c>
      <c r="I50" s="125" t="s">
        <v>184</v>
      </c>
      <c r="J50" s="126"/>
      <c r="P50" s="127" t="s">
        <v>185</v>
      </c>
      <c r="Q50" s="159" t="s">
        <v>186</v>
      </c>
      <c r="R50" s="160" t="s">
        <v>187</v>
      </c>
      <c r="S50" s="161"/>
      <c r="AJ50" s="178">
        <v>7.5</v>
      </c>
      <c r="AK50" s="125" t="s">
        <v>188</v>
      </c>
      <c r="AL50" s="126"/>
    </row>
  </sheetData>
  <mergeCells count="246">
    <mergeCell ref="D1:F1"/>
    <mergeCell ref="H1:J1"/>
    <mergeCell ref="L1:N1"/>
    <mergeCell ref="P1:R1"/>
    <mergeCell ref="T1:V1"/>
    <mergeCell ref="X1:Z1"/>
    <mergeCell ref="AB1:AD1"/>
    <mergeCell ref="AF1:AH1"/>
    <mergeCell ref="AJ1:AL1"/>
    <mergeCell ref="E2:F2"/>
    <mergeCell ref="M2:N2"/>
    <mergeCell ref="Q2:R2"/>
    <mergeCell ref="U2:V2"/>
    <mergeCell ref="AG2:AH2"/>
    <mergeCell ref="E3:F3"/>
    <mergeCell ref="M3:N3"/>
    <mergeCell ref="Q3:R3"/>
    <mergeCell ref="U3:V3"/>
    <mergeCell ref="AG3:AH3"/>
    <mergeCell ref="E4:F4"/>
    <mergeCell ref="M4:N4"/>
    <mergeCell ref="Q4:R4"/>
    <mergeCell ref="U4:V4"/>
    <mergeCell ref="AG4:AH4"/>
    <mergeCell ref="E5:F5"/>
    <mergeCell ref="M5:N5"/>
    <mergeCell ref="Q5:R5"/>
    <mergeCell ref="U5:V5"/>
    <mergeCell ref="AG5:AH5"/>
    <mergeCell ref="E11:F11"/>
    <mergeCell ref="I11:J11"/>
    <mergeCell ref="M11:N11"/>
    <mergeCell ref="Q11:R11"/>
    <mergeCell ref="U11:V11"/>
    <mergeCell ref="Y11:Z11"/>
    <mergeCell ref="AC11:AD11"/>
    <mergeCell ref="AG11:AH11"/>
    <mergeCell ref="AK11:AL11"/>
    <mergeCell ref="E12:F12"/>
    <mergeCell ref="I12:J12"/>
    <mergeCell ref="Q12:R12"/>
    <mergeCell ref="U12:V12"/>
    <mergeCell ref="Y12:Z12"/>
    <mergeCell ref="AC12:AD12"/>
    <mergeCell ref="AK12:AL12"/>
    <mergeCell ref="E13:F13"/>
    <mergeCell ref="I13:J13"/>
    <mergeCell ref="Q13:R13"/>
    <mergeCell ref="U13:V13"/>
    <mergeCell ref="Y13:Z13"/>
    <mergeCell ref="AC13:AD13"/>
    <mergeCell ref="AK13:AL13"/>
    <mergeCell ref="E14:F14"/>
    <mergeCell ref="I14:J14"/>
    <mergeCell ref="Q14:R14"/>
    <mergeCell ref="U14:V14"/>
    <mergeCell ref="Y14:Z14"/>
    <mergeCell ref="AC14:AD14"/>
    <mergeCell ref="AK14:AL14"/>
    <mergeCell ref="E25:F25"/>
    <mergeCell ref="I25:J25"/>
    <mergeCell ref="M25:N25"/>
    <mergeCell ref="Q25:R25"/>
    <mergeCell ref="U25:V25"/>
    <mergeCell ref="Y25:Z25"/>
    <mergeCell ref="AC25:AD25"/>
    <mergeCell ref="AG25:AH25"/>
    <mergeCell ref="AK25:AL25"/>
    <mergeCell ref="E26:F26"/>
    <mergeCell ref="E27:F27"/>
    <mergeCell ref="E28:F28"/>
    <mergeCell ref="I28:J28"/>
    <mergeCell ref="Q28:R28"/>
    <mergeCell ref="U28:V28"/>
    <mergeCell ref="Y28:Z28"/>
    <mergeCell ref="AC28:AD28"/>
    <mergeCell ref="AK28:AL28"/>
    <mergeCell ref="E29:F29"/>
    <mergeCell ref="I29:J29"/>
    <mergeCell ref="Q29:R29"/>
    <mergeCell ref="U29:V29"/>
    <mergeCell ref="Y29:Z29"/>
    <mergeCell ref="AC29:AD29"/>
    <mergeCell ref="AK29:AL29"/>
    <mergeCell ref="E30:F30"/>
    <mergeCell ref="I30:J30"/>
    <mergeCell ref="M30:N30"/>
    <mergeCell ref="Q30:R30"/>
    <mergeCell ref="U30:V30"/>
    <mergeCell ref="Y30:Z30"/>
    <mergeCell ref="AC30:AD30"/>
    <mergeCell ref="AG30:AH30"/>
    <mergeCell ref="AK30:AL30"/>
    <mergeCell ref="E31:F31"/>
    <mergeCell ref="I31:J31"/>
    <mergeCell ref="M31:N31"/>
    <mergeCell ref="Q31:R31"/>
    <mergeCell ref="U31:V31"/>
    <mergeCell ref="Y31:Z31"/>
    <mergeCell ref="AC31:AD31"/>
    <mergeCell ref="AG31:AH31"/>
    <mergeCell ref="AK31:AL31"/>
    <mergeCell ref="Y37:Z37"/>
    <mergeCell ref="AC37:AD37"/>
    <mergeCell ref="E40:F40"/>
    <mergeCell ref="I40:J40"/>
    <mergeCell ref="M40:N40"/>
    <mergeCell ref="Q40:R40"/>
    <mergeCell ref="U40:V40"/>
    <mergeCell ref="Y40:Z40"/>
    <mergeCell ref="AC40:AD40"/>
    <mergeCell ref="AG40:AH40"/>
    <mergeCell ref="AK40:AL40"/>
    <mergeCell ref="E41:F41"/>
    <mergeCell ref="I41:J41"/>
    <mergeCell ref="M41:N41"/>
    <mergeCell ref="Q41:R41"/>
    <mergeCell ref="U41:V41"/>
    <mergeCell ref="Y41:Z41"/>
    <mergeCell ref="AC41:AD41"/>
    <mergeCell ref="AG41:AH41"/>
    <mergeCell ref="AK41:AL41"/>
    <mergeCell ref="E42:F42"/>
    <mergeCell ref="I42:J42"/>
    <mergeCell ref="M42:N42"/>
    <mergeCell ref="Q42:R42"/>
    <mergeCell ref="U42:V42"/>
    <mergeCell ref="Y42:Z42"/>
    <mergeCell ref="AC42:AD42"/>
    <mergeCell ref="AG42:AH42"/>
    <mergeCell ref="AK42:AL42"/>
    <mergeCell ref="E43:F43"/>
    <mergeCell ref="I43:J43"/>
    <mergeCell ref="Q43:R43"/>
    <mergeCell ref="U43:V43"/>
    <mergeCell ref="Y43:Z43"/>
    <mergeCell ref="AC43:AD43"/>
    <mergeCell ref="AK43:AL43"/>
    <mergeCell ref="E44:F44"/>
    <mergeCell ref="I44:J44"/>
    <mergeCell ref="M44:N44"/>
    <mergeCell ref="Q44:R44"/>
    <mergeCell ref="U44:V44"/>
    <mergeCell ref="Y44:Z44"/>
    <mergeCell ref="AC44:AD44"/>
    <mergeCell ref="AG44:AH44"/>
    <mergeCell ref="AK44:AL44"/>
    <mergeCell ref="E45:F45"/>
    <mergeCell ref="I45:J45"/>
    <mergeCell ref="Q45:R45"/>
    <mergeCell ref="U45:V45"/>
    <mergeCell ref="Y45:Z45"/>
    <mergeCell ref="AC45:AD45"/>
    <mergeCell ref="AK45:AL45"/>
    <mergeCell ref="E46:F46"/>
    <mergeCell ref="I46:J46"/>
    <mergeCell ref="Q46:R46"/>
    <mergeCell ref="U46:V46"/>
    <mergeCell ref="Y46:Z46"/>
    <mergeCell ref="AC46:AD46"/>
    <mergeCell ref="AK46:AL46"/>
    <mergeCell ref="E47:F47"/>
    <mergeCell ref="I47:J47"/>
    <mergeCell ref="M47:N47"/>
    <mergeCell ref="Q47:R47"/>
    <mergeCell ref="U47:V47"/>
    <mergeCell ref="Y47:Z47"/>
    <mergeCell ref="AC47:AD47"/>
    <mergeCell ref="AG47:AH47"/>
    <mergeCell ref="AK47:AL47"/>
    <mergeCell ref="E48:F48"/>
    <mergeCell ref="I48:J48"/>
    <mergeCell ref="Q48:R48"/>
    <mergeCell ref="U48:V48"/>
    <mergeCell ref="Y48:Z48"/>
    <mergeCell ref="AC48:AD48"/>
    <mergeCell ref="AK48:AL48"/>
    <mergeCell ref="E49:F49"/>
    <mergeCell ref="I49:J49"/>
    <mergeCell ref="Q49:R49"/>
    <mergeCell ref="U49:V49"/>
    <mergeCell ref="Y49:Z49"/>
    <mergeCell ref="AC49:AD49"/>
    <mergeCell ref="AK49:AL49"/>
    <mergeCell ref="I50:J50"/>
    <mergeCell ref="AK50:AL50"/>
    <mergeCell ref="A2:A14"/>
    <mergeCell ref="A15:A24"/>
    <mergeCell ref="A25:A31"/>
    <mergeCell ref="A32:A39"/>
    <mergeCell ref="A40:A49"/>
    <mergeCell ref="B15:B24"/>
    <mergeCell ref="B32:B39"/>
    <mergeCell ref="C3:C4"/>
    <mergeCell ref="C15:C24"/>
    <mergeCell ref="C26:C27"/>
    <mergeCell ref="C32:C39"/>
    <mergeCell ref="F15:F24"/>
    <mergeCell ref="F32:F39"/>
    <mergeCell ref="H3:H4"/>
    <mergeCell ref="H26:H27"/>
    <mergeCell ref="H32:H37"/>
    <mergeCell ref="J15:J24"/>
    <mergeCell ref="L26:L27"/>
    <mergeCell ref="N15:N24"/>
    <mergeCell ref="N32:N36"/>
    <mergeCell ref="P26:P27"/>
    <mergeCell ref="R15:R24"/>
    <mergeCell ref="R32:R36"/>
    <mergeCell ref="T26:T27"/>
    <mergeCell ref="T32:T37"/>
    <mergeCell ref="V15:V24"/>
    <mergeCell ref="X26:X27"/>
    <mergeCell ref="Z15:Z24"/>
    <mergeCell ref="Z32:Z36"/>
    <mergeCell ref="AB3:AB4"/>
    <mergeCell ref="AB26:AB27"/>
    <mergeCell ref="AD15:AD24"/>
    <mergeCell ref="AD32:AD36"/>
    <mergeCell ref="AF26:AF27"/>
    <mergeCell ref="AH15:AH24"/>
    <mergeCell ref="AH32:AH36"/>
    <mergeCell ref="AJ3:AJ4"/>
    <mergeCell ref="AJ26:AJ27"/>
    <mergeCell ref="AJ32:AJ37"/>
    <mergeCell ref="AL15:AL24"/>
    <mergeCell ref="I26:J27"/>
    <mergeCell ref="M26:N27"/>
    <mergeCell ref="Q26:R27"/>
    <mergeCell ref="U26:V27"/>
    <mergeCell ref="Y26:Z27"/>
    <mergeCell ref="AC26:AD27"/>
    <mergeCell ref="AG26:AH27"/>
    <mergeCell ref="AK26:AL27"/>
    <mergeCell ref="I32:J37"/>
    <mergeCell ref="U32:V37"/>
    <mergeCell ref="AK32:AL37"/>
    <mergeCell ref="I2:J10"/>
    <mergeCell ref="Y2:Z10"/>
    <mergeCell ref="AC2:AD10"/>
    <mergeCell ref="AK2:AL10"/>
    <mergeCell ref="E6:F10"/>
    <mergeCell ref="M6:N10"/>
    <mergeCell ref="Q6:R10"/>
    <mergeCell ref="U6:V10"/>
    <mergeCell ref="AG6:AH10"/>
  </mergeCells>
  <pageMargins left="0.7" right="0.7" top="0.75" bottom="0.75" header="0.3" footer="0.3"/>
  <pageSetup paperSize="9" scale="33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P9" sqref="P9"/>
    </sheetView>
  </sheetViews>
  <sheetFormatPr defaultColWidth="9" defaultRowHeight="16.5" outlineLevelCol="4"/>
  <cols>
    <col min="1" max="1" width="9" style="2"/>
    <col min="2" max="2" width="10.5" style="2" customWidth="1"/>
    <col min="3" max="3" width="14.625" style="2" customWidth="1"/>
    <col min="4" max="16384" width="9" style="2"/>
  </cols>
  <sheetData>
    <row r="1" s="1" customFormat="1" spans="1: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</row>
    <row r="2" spans="1:3">
      <c r="A2" s="2" t="s">
        <v>194</v>
      </c>
      <c r="B2" s="3">
        <v>45505</v>
      </c>
      <c r="C2" s="2" t="s">
        <v>195</v>
      </c>
    </row>
    <row r="3" spans="1:4">
      <c r="A3" s="2" t="s">
        <v>196</v>
      </c>
      <c r="B3" s="3">
        <v>45292</v>
      </c>
      <c r="C3" s="3">
        <v>46023</v>
      </c>
      <c r="D3" s="2" t="s">
        <v>197</v>
      </c>
    </row>
    <row r="4" spans="1:5">
      <c r="A4" s="2" t="s">
        <v>198</v>
      </c>
      <c r="B4" s="3">
        <v>45474</v>
      </c>
      <c r="C4" s="3"/>
      <c r="D4" s="2" t="s">
        <v>199</v>
      </c>
      <c r="E4" s="4" t="s">
        <v>200</v>
      </c>
    </row>
    <row r="5" spans="1:5">
      <c r="A5" s="2" t="s">
        <v>201</v>
      </c>
      <c r="B5" s="3">
        <v>45597</v>
      </c>
      <c r="C5" s="3"/>
      <c r="D5" s="2" t="s">
        <v>199</v>
      </c>
      <c r="E5" s="4" t="s">
        <v>200</v>
      </c>
    </row>
    <row r="6" spans="1:5">
      <c r="A6" s="2" t="s">
        <v>202</v>
      </c>
      <c r="B6" s="3">
        <v>45413</v>
      </c>
      <c r="C6" s="3"/>
      <c r="D6" s="2" t="s">
        <v>199</v>
      </c>
      <c r="E6" s="4" t="s">
        <v>200</v>
      </c>
    </row>
    <row r="7" spans="1:5">
      <c r="A7" s="2" t="s">
        <v>203</v>
      </c>
      <c r="B7" s="3">
        <v>45566</v>
      </c>
      <c r="D7" s="2" t="s">
        <v>199</v>
      </c>
      <c r="E7" s="4" t="s">
        <v>200</v>
      </c>
    </row>
    <row r="8" spans="1:5">
      <c r="A8" s="2" t="s">
        <v>204</v>
      </c>
      <c r="B8" s="3">
        <v>45597</v>
      </c>
      <c r="C8" s="3"/>
      <c r="D8" s="2" t="s">
        <v>199</v>
      </c>
      <c r="E8" s="4" t="s">
        <v>200</v>
      </c>
    </row>
    <row r="9" spans="1:5">
      <c r="A9" s="2" t="s">
        <v>205</v>
      </c>
      <c r="B9" s="3">
        <v>45047</v>
      </c>
      <c r="E9" s="4" t="s">
        <v>206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4PL 价格</vt:lpstr>
      <vt:lpstr>合同有效期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</cp:lastModifiedBy>
  <dcterms:created xsi:type="dcterms:W3CDTF">2023-05-12T11:15:00Z</dcterms:created>
  <dcterms:modified xsi:type="dcterms:W3CDTF">2025-06-30T01:19:14Z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25D8289FC08C4BDAA615A77E102EC341_12</vt:lpwstr>
  </property>
  <property fmtid="{D5CDD505-2E9C-101B-9397-08002B2CF9AE}" pid="4" name="KSOReadingLayout">
    <vt:bool>true</vt:bool>
  </property>
</Properties>
</file>