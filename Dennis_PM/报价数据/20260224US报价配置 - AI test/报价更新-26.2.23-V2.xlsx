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汇总" sheetId="2" r:id="rId1"/>
    <sheet name="GOFO Parcel" sheetId="3" r:id="rId2"/>
    <sheet name="Amazon Shippin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<sst xmlns="http://schemas.openxmlformats.org/spreadsheetml/2006/main" count="266" uniqueCount="162">
  <si>
    <t>客户报价版本</t>
  </si>
  <si>
    <t>VIP等级</t>
  </si>
  <si>
    <t>具体报价编号</t>
  </si>
  <si>
    <t>报价类型</t>
  </si>
  <si>
    <t>S1</t>
  </si>
  <si>
    <t>S1标准价格-2025010601</t>
  </si>
  <si>
    <t>FG和AMZ价格为S1，其余所有产品为公布价</t>
  </si>
  <si>
    <t>S2</t>
  </si>
  <si>
    <t>S2标准价-2025010601</t>
  </si>
  <si>
    <t>FG和AMZ价格为S2，其余所有产品为公布价</t>
  </si>
  <si>
    <t>S3</t>
  </si>
  <si>
    <t>S3标准价-2025010601</t>
  </si>
  <si>
    <t>FG和AMZ价格为S3，其余所有产品为公布价</t>
  </si>
  <si>
    <t>OE价格-2025010601</t>
  </si>
  <si>
    <t>除UG和FGE，其他均为OE版本</t>
  </si>
  <si>
    <t>S1小件折扣价格-2025010602</t>
  </si>
  <si>
    <t>USPS为OE价格，其余所有产品为S1</t>
  </si>
  <si>
    <t>S2小件折扣价-2025010602</t>
  </si>
  <si>
    <t>USPS为OE价格，其余所有产品为S2</t>
  </si>
  <si>
    <t>VIP</t>
  </si>
  <si>
    <t>USPS、FGE为公布价，其余价格为VIP</t>
  </si>
  <si>
    <t>Important(BEST SELLER)</t>
  </si>
  <si>
    <t>BEST SELLER</t>
  </si>
  <si>
    <t>USPS、FGE为公布价，其余价格为BEST SELLER</t>
  </si>
  <si>
    <t>Member(WHOLESALE)</t>
  </si>
  <si>
    <t>WHOLESALE</t>
  </si>
  <si>
    <t>USPS、FGE为公布价，其余价格为WHOLESALE</t>
  </si>
  <si>
    <t>Ultra</t>
  </si>
  <si>
    <t>USPS、FGE为公布价，其余价格为Ultra</t>
  </si>
  <si>
    <t>以下为目前CN和US所有已上线物流产品（不含Gaatu）</t>
  </si>
  <si>
    <t>更新后物流产品名称</t>
  </si>
  <si>
    <t>更新报价时候会用到的简称（不对外，对内）</t>
  </si>
  <si>
    <t>适用客户</t>
  </si>
  <si>
    <t>适用报价版本</t>
  </si>
  <si>
    <t>备注</t>
  </si>
  <si>
    <t>USPS</t>
  </si>
  <si>
    <t>一件代发使用</t>
  </si>
  <si>
    <t>CN ALL&amp;US ALL</t>
  </si>
  <si>
    <t>中美所有版本</t>
  </si>
  <si>
    <t>UniUni</t>
  </si>
  <si>
    <t>CN ALL</t>
  </si>
  <si>
    <t>CN ALL版本</t>
  </si>
  <si>
    <t>GOFO Parcel</t>
  </si>
  <si>
    <t>GOFO</t>
  </si>
  <si>
    <t>CN ALL&amp;US指定客户</t>
  </si>
  <si>
    <t>CN ALL版本&amp;VIP&amp;Ultra</t>
  </si>
  <si>
    <t>新增</t>
  </si>
  <si>
    <t>FedEx Ground</t>
  </si>
  <si>
    <t>FG</t>
  </si>
  <si>
    <t>一件代发使用&amp;转运&amp;Return</t>
  </si>
  <si>
    <t>UPS Ground</t>
  </si>
  <si>
    <t>UG</t>
  </si>
  <si>
    <t>一件代发使用&amp;转运</t>
  </si>
  <si>
    <t>Amazon Shipping</t>
  </si>
  <si>
    <t>AMZ</t>
  </si>
  <si>
    <t>FedEx Ground Economy</t>
  </si>
  <si>
    <t>FGE</t>
  </si>
  <si>
    <t>CN ALL &amp; US指定客户</t>
  </si>
  <si>
    <t>GOFO GROUND</t>
  </si>
  <si>
    <t>CN指定客户</t>
  </si>
  <si>
    <t>Fimile Ground</t>
  </si>
  <si>
    <t>Fimile</t>
  </si>
  <si>
    <t>UPS Next Day Air</t>
  </si>
  <si>
    <t>Next Day</t>
  </si>
  <si>
    <t>reship使用</t>
  </si>
  <si>
    <t>UPS 2nd Day Air</t>
  </si>
  <si>
    <t>2nd Day</t>
  </si>
  <si>
    <t>FedEx 2Day</t>
  </si>
  <si>
    <t>指定SKU使用</t>
  </si>
  <si>
    <t>US指定客户</t>
  </si>
  <si>
    <t>US ALL版本</t>
  </si>
  <si>
    <t>报价更新说明</t>
  </si>
  <si>
    <t>一、尾程产品组</t>
  </si>
  <si>
    <t>报价更新内容（具体生效时间，报价版本以及金额参考《更新明细》</t>
  </si>
  <si>
    <t>一、Shipping fee</t>
  </si>
  <si>
    <t>产品名称</t>
  </si>
  <si>
    <t>code</t>
  </si>
  <si>
    <t>费用项名称</t>
  </si>
  <si>
    <t>生效时间</t>
  </si>
  <si>
    <t>具体内容路径</t>
  </si>
  <si>
    <t>新增产品</t>
  </si>
  <si>
    <t>立即生效</t>
  </si>
  <si>
    <t>《GOFO Parcel》</t>
  </si>
  <si>
    <t>基础运费+附加费+附加费规则（都更新了）</t>
  </si>
  <si>
    <t>《Amazon Shipping》</t>
  </si>
  <si>
    <t>Weight</t>
  </si>
  <si>
    <t>Zone</t>
  </si>
  <si>
    <t>Charge</t>
  </si>
  <si>
    <t>Description</t>
  </si>
  <si>
    <t>Fee</t>
  </si>
  <si>
    <t>lb</t>
  </si>
  <si>
    <t>oz</t>
  </si>
  <si>
    <t>Billable Weight</t>
  </si>
  <si>
    <t>Billable weight is the greater of actual weight and dimensional weight
Dimensional weight (lbs) = Length × Width × Height (inches) / 166</t>
  </si>
  <si>
    <t>-</t>
  </si>
  <si>
    <t>Size and Weight Limitations</t>
  </si>
  <si>
    <t>1. Maximum parcel weight is 20 pounds</t>
  </si>
  <si>
    <t>2. Maximum dimensions limit: 23*19*15 inches</t>
  </si>
  <si>
    <t>3. Minimum dimensions limit: 6*4*0.5 inches</t>
  </si>
  <si>
    <t>Additional Handling</t>
  </si>
  <si>
    <t>1.Actual weight &gt; 20 pounds</t>
  </si>
  <si>
    <t>2.Length &gt; 23 inches</t>
  </si>
  <si>
    <t>3. Width &gt; 19 inches</t>
  </si>
  <si>
    <t>4. Height &gt;15 inches</t>
  </si>
  <si>
    <t>Package Relabel</t>
  </si>
  <si>
    <t>A per-package surcharge will be assessed on packages that do not conform to
specifications that require overlabel or hand key.</t>
  </si>
  <si>
    <t>Address Correction</t>
  </si>
  <si>
    <t>An address validated by the logistics service provider may be incorrect or incomplete for purposes of completing delivery and may be corrected by the logistics service provider</t>
  </si>
  <si>
    <t>Return shipping fee</t>
  </si>
  <si>
    <t>Return</t>
  </si>
  <si>
    <t>Destroy</t>
  </si>
  <si>
    <t>Delivery is not supported to PO Boxes, Alaska (AK), Hawaii (HI), Puerto Rico (PR), Virgin Islands (VI), and other remote island areas.</t>
  </si>
  <si>
    <t>Actual fees generated by the carrier during transportation will be billed accordingly</t>
  </si>
  <si>
    <t>Hazardous goods are not accepted for transportation</t>
  </si>
  <si>
    <t>具体报价编号（所有US版本通用)</t>
  </si>
  <si>
    <t>Fee code</t>
  </si>
  <si>
    <r>
      <rPr>
        <sz val="11"/>
        <color theme="1"/>
        <rFont val="Calibri"/>
        <charset val="134"/>
      </rPr>
      <t xml:space="preserve">Billable weight is the greater of actual weight and dimensional weight
 Dimensional weight (lbs) = Length × Width × Height (inches) / </t>
    </r>
    <r>
      <rPr>
        <b/>
        <sz val="11"/>
        <color theme="1"/>
        <rFont val="Calibri"/>
        <charset val="134"/>
      </rPr>
      <t>225</t>
    </r>
  </si>
  <si>
    <t>Fuel Surcharge</t>
  </si>
  <si>
    <t>Based on all charges except for Shipping Charge Correction Audit Fee, subject to Ground rate calculations
Please refer to the link below for details:</t>
  </si>
  <si>
    <t>https://www.ups.com/us/en/support/shipping-support/shipping-costs-rates/fuel-surcharges.page</t>
  </si>
  <si>
    <t>Delivery Area Surcharge</t>
  </si>
  <si>
    <t>Subject to zip codes within the Delivery Area</t>
  </si>
  <si>
    <t>RDC/RDR</t>
  </si>
  <si>
    <t>Extend Delivery Area Surcharge</t>
  </si>
  <si>
    <t>Subject to zip codes within the Extend Delivery Area</t>
  </si>
  <si>
    <t>LDC/LDR</t>
  </si>
  <si>
    <t>Remote Area Surcharge</t>
  </si>
  <si>
    <t>Subject to zip codes within the Remote Area</t>
  </si>
  <si>
    <t>CAC/CAR</t>
  </si>
  <si>
    <t>Non-Standard Fee
(Demand Surcharge will be added)</t>
  </si>
  <si>
    <t>1.Length &gt; 37 inches
2.Width &gt; 30 inches
3.Height &gt; 24 inches
The Non-Standard fee will not be applied when the Additional Handling fee is applied</t>
  </si>
  <si>
    <t>zone 2</t>
  </si>
  <si>
    <t>zone 3-4</t>
  </si>
  <si>
    <t>zone 5+</t>
  </si>
  <si>
    <t>Additional Handling-Weight
(Demand Surcharge will be added)</t>
  </si>
  <si>
    <t>Actual weight &gt; 50 pounds</t>
  </si>
  <si>
    <t>AHW</t>
  </si>
  <si>
    <t>Additional Handling-Dimension
(Demand Surcharge will be added)</t>
  </si>
  <si>
    <r>
      <rPr>
        <sz val="11"/>
        <color theme="1"/>
        <rFont val="Calibri"/>
        <charset val="134"/>
      </rPr>
      <t xml:space="preserve">Charges apply if any of the following conditions are met:
</t>
    </r>
    <r>
      <rPr>
        <sz val="11"/>
        <color rgb="FFFF0000"/>
        <rFont val="Calibri"/>
        <charset val="134"/>
      </rPr>
      <t>1. Longest side &gt; 47 inches and ≤ 96 inches
2. Width &gt; 42 inches</t>
    </r>
    <r>
      <rPr>
        <sz val="11"/>
        <color theme="1"/>
        <rFont val="Calibri"/>
        <charset val="134"/>
      </rPr>
      <t xml:space="preserve">
3. Length + 2*Width + 2*Height &gt; 105 inches
The minimum billable weight for Additional Handling-Dimension Surcharge is 40 pounds</t>
    </r>
  </si>
  <si>
    <t>AHL/AHS/AHG</t>
  </si>
  <si>
    <t>Additional Handling-Packaging
(Demand Surcharge will be added)</t>
  </si>
  <si>
    <t>Irregular Package: an item without a corrugated cardboard, for unusual package types like tubes, wooden crates, tires, hard plastic, soft plastic,etc.</t>
  </si>
  <si>
    <t>AHC</t>
  </si>
  <si>
    <t>Large Package Surcharge
(Demand Surcharge will be added)</t>
  </si>
  <si>
    <t>Charges apply if any of the following conditions are met:
1. Longest side &gt; 96 inches
2. Length + 2*Width + 2*Height &gt; 130 inches
The minimum billable weight for Large Package Surcharge is 90 pounds
No Additional Handling charge for packages already subjected to Large Package Surcharge</t>
  </si>
  <si>
    <t>LLC/LLR/LPR/LPS</t>
  </si>
  <si>
    <t>Over Maximum Limits
(Demand Surcharge will be added)</t>
  </si>
  <si>
    <t>Charges apply if any of the following conditions are met:
1.  Actual weight of &gt; 150 pounds
2. Longest side &gt; 108 inches
3. Length + 2*Width + 2*Height &gt; 165 inches
Packages exceeding the limits, the carrier may refuse and return them
If a package meets both Large Package and Over Maximum Limits, both charges apply, with Demand Surcharge added</t>
  </si>
  <si>
    <t>OML/OVR/OVX</t>
  </si>
  <si>
    <t>Demand Surcharge-Additional Handling</t>
  </si>
  <si>
    <t>2025.11.23-2025.12.27</t>
  </si>
  <si>
    <t>2025.12.28-2026.1.17</t>
  </si>
  <si>
    <t>2026.1.18-TBD</t>
  </si>
  <si>
    <t>TBD</t>
  </si>
  <si>
    <t>Demand Surcharge-Large Package</t>
  </si>
  <si>
    <t>Demand Surcharge-Over Maximum Limits</t>
  </si>
  <si>
    <t>ADC</t>
  </si>
  <si>
    <t>Demand Surcharge</t>
  </si>
  <si>
    <t>Delivery Intercept</t>
  </si>
  <si>
    <t>This service is not supported</t>
  </si>
  <si>
    <t>Shipping Charge Correction Audit Fee</t>
  </si>
  <si>
    <t>This fee is applied when the service provider audits shipping charges to ensure accuracy, including Inaccurate dimensions and weight, or irregular package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</si>
</sst>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#\ ?/??"/>
    <numFmt numFmtId="178" formatCode="\$#,##0.00;\$\-#,##0.00"/>
    <numFmt numFmtId="179" formatCode="yyyy/m/d;@"/>
  </numFmts>
  <fonts count="3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sz val="12"/>
      <color rgb="FFFF0000"/>
      <name val="Calibri"/>
      <charset val="134"/>
    </font>
    <font>
      <b/>
      <sz val="14"/>
      <color theme="0"/>
      <name val="Calibri"/>
      <charset val="134"/>
    </font>
    <font>
      <b/>
      <sz val="9"/>
      <color rgb="FF002060"/>
      <name val="微软雅黑"/>
      <charset val="134"/>
    </font>
    <font>
      <sz val="9"/>
      <color theme="1"/>
      <name val="微软雅黑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2"/>
      <name val="Calibri"/>
      <charset val="134"/>
    </font>
    <font>
      <u/>
      <sz val="11"/>
      <color rgb="FF800080"/>
      <name val="Calibri"/>
      <charset val="0"/>
    </font>
    <font>
      <sz val="11"/>
      <color rgb="FFFF0000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FF1EE"/>
        <bgColor rgb="FFDFF1EE"/>
      </patternFill>
    </fill>
    <fill>
      <patternFill patternType="solid">
        <fgColor theme="8" tint="-0.25"/>
        <bgColor indexed="64"/>
      </patternFill>
    </fill>
    <fill>
      <patternFill patternType="solid">
        <fgColor theme="8" tint="0.799951170384838"/>
        <bgColor rgb="FF80C5BA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4">
    <border>
      <left/>
      <right/>
      <top/>
      <bottom/>
      <diagonal/>
    </border>
    <border>
      <left style="hair">
        <color theme="8" tint="0.399945066682943"/>
      </left>
      <right style="hair">
        <color theme="8" tint="0.399945066682943"/>
      </right>
      <top style="hair">
        <color theme="8" tint="0.399945066682943"/>
      </top>
      <bottom style="hair">
        <color theme="8" tint="0.39994506668294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E7F4F8"/>
      </left>
      <right/>
      <top style="thin">
        <color auto="1"/>
      </top>
      <bottom style="thin">
        <color auto="1"/>
      </bottom>
      <diagonal/>
    </border>
    <border>
      <left/>
      <right style="medium">
        <color rgb="FFE7F4F8"/>
      </right>
      <top style="thin">
        <color auto="1"/>
      </top>
      <bottom style="thin">
        <color auto="1"/>
      </bottom>
      <diagonal/>
    </border>
    <border>
      <left style="medium">
        <color rgb="FFE7F4F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rgb="FFE7F4F8"/>
      </left>
      <right/>
      <top style="thin">
        <color auto="1"/>
      </top>
      <bottom/>
      <diagonal/>
    </border>
    <border>
      <left style="medium">
        <color rgb="FFE7F4F8"/>
      </left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medium">
        <color rgb="FFE7F4F8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rgb="FFE7F4F8"/>
      </left>
      <right/>
      <top style="thin">
        <color theme="1"/>
      </top>
      <bottom style="thin">
        <color auto="1"/>
      </bottom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rgb="FFE7F4F8"/>
      </left>
      <right style="thin">
        <color auto="1"/>
      </right>
      <top style="thin">
        <color auto="1"/>
      </top>
      <bottom/>
      <diagonal/>
    </border>
    <border>
      <left style="medium">
        <color rgb="FFE7F4F8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E7F4F8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theme="8" tint="0.399945066682943"/>
      </left>
      <right/>
      <top style="hair">
        <color theme="8" tint="0.399945066682943"/>
      </top>
      <bottom style="hair">
        <color theme="8" tint="0.399945066682943"/>
      </bottom>
      <diagonal/>
    </border>
    <border>
      <left/>
      <right/>
      <top style="hair">
        <color theme="8" tint="0.399945066682943"/>
      </top>
      <bottom style="hair">
        <color theme="8" tint="0.399945066682943"/>
      </bottom>
      <diagonal/>
    </border>
    <border>
      <left style="thin">
        <color auto="1"/>
      </left>
      <right style="medium">
        <color rgb="FFE7F4F8"/>
      </right>
      <top style="thin">
        <color auto="1"/>
      </top>
      <bottom style="thin">
        <color auto="1"/>
      </bottom>
      <diagonal/>
    </border>
    <border>
      <left style="medium">
        <color rgb="FFE7F4F8"/>
      </left>
      <right style="medium">
        <color rgb="FFE7F4F8"/>
      </right>
      <top style="thin">
        <color auto="1"/>
      </top>
      <bottom style="thin">
        <color auto="1"/>
      </bottom>
      <diagonal/>
    </border>
    <border>
      <left/>
      <right style="medium">
        <color rgb="FFE7F4F8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1"/>
      </bottom>
      <diagonal/>
    </border>
    <border>
      <left style="medium">
        <color rgb="FFE7F4F8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medium">
        <color rgb="FFE7F4F8"/>
      </left>
      <right/>
      <top/>
      <bottom style="medium">
        <color rgb="FFE7F4F8"/>
      </bottom>
      <diagonal/>
    </border>
    <border>
      <left/>
      <right/>
      <top/>
      <bottom style="medium">
        <color rgb="FFE7F4F8"/>
      </bottom>
      <diagonal/>
    </border>
    <border>
      <left/>
      <right style="medium">
        <color rgb="FFE7F4F8"/>
      </right>
      <top/>
      <bottom/>
      <diagonal/>
    </border>
    <border>
      <left style="medium">
        <color rgb="FFE7F4F8"/>
      </left>
      <right/>
      <top style="medium">
        <color rgb="FFE7F4F8"/>
      </top>
      <bottom style="medium">
        <color rgb="FFE7F4F8"/>
      </bottom>
      <diagonal/>
    </border>
    <border>
      <left/>
      <right/>
      <top style="medium">
        <color rgb="FFE7F4F8"/>
      </top>
      <bottom style="medium">
        <color rgb="FFE7F4F8"/>
      </bottom>
      <diagonal/>
    </border>
    <border>
      <left/>
      <right style="medium">
        <color rgb="FFE7F4F8"/>
      </right>
      <top/>
      <bottom style="thin">
        <color auto="1"/>
      </bottom>
      <diagonal/>
    </border>
    <border>
      <left style="medium">
        <color rgb="FFE7F4F8"/>
      </left>
      <right/>
      <top style="medium">
        <color rgb="FFE7F4F8"/>
      </top>
      <bottom style="thin">
        <color theme="1"/>
      </bottom>
      <diagonal/>
    </border>
    <border>
      <left/>
      <right/>
      <top style="medium">
        <color rgb="FFE7F4F8"/>
      </top>
      <bottom style="thin">
        <color theme="1"/>
      </bottom>
      <diagonal/>
    </border>
    <border>
      <left style="medium">
        <color rgb="FFE7F4F8"/>
      </left>
      <right style="thin">
        <color auto="1"/>
      </right>
      <top/>
      <bottom style="thin">
        <color theme="1"/>
      </bottom>
      <diagonal/>
    </border>
    <border>
      <left style="medium">
        <color rgb="FFE7F4F8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rgb="FFE7F4F8"/>
      </right>
      <top style="thin">
        <color auto="1"/>
      </top>
      <bottom/>
      <diagonal/>
    </border>
    <border>
      <left/>
      <right/>
      <top style="thin">
        <color theme="1"/>
      </top>
      <bottom style="thin">
        <color rgb="FFE7F4F8"/>
      </bottom>
      <diagonal/>
    </border>
    <border>
      <left style="medium">
        <color rgb="FFE7F4F8"/>
      </left>
      <right style="thin">
        <color auto="1"/>
      </right>
      <top/>
      <bottom style="medium">
        <color rgb="FFE7F4F8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/>
      <right style="thin">
        <color rgb="FFE7F4F8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5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7" applyNumberFormat="0" applyFill="0" applyAlignment="0" applyProtection="0">
      <alignment vertical="center"/>
    </xf>
    <xf numFmtId="0" fontId="23" fillId="0" borderId="57" applyNumberFormat="0" applyFill="0" applyAlignment="0" applyProtection="0">
      <alignment vertical="center"/>
    </xf>
    <xf numFmtId="0" fontId="24" fillId="0" borderId="5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59" applyNumberFormat="0" applyAlignment="0" applyProtection="0">
      <alignment vertical="center"/>
    </xf>
    <xf numFmtId="0" fontId="26" fillId="9" borderId="60" applyNumberFormat="0" applyAlignment="0" applyProtection="0">
      <alignment vertical="center"/>
    </xf>
    <xf numFmtId="0" fontId="27" fillId="9" borderId="59" applyNumberFormat="0" applyAlignment="0" applyProtection="0">
      <alignment vertical="center"/>
    </xf>
    <xf numFmtId="0" fontId="28" fillId="10" borderId="61" applyNumberFormat="0" applyAlignment="0" applyProtection="0">
      <alignment vertical="center"/>
    </xf>
    <xf numFmtId="0" fontId="29" fillId="0" borderId="62" applyNumberFormat="0" applyFill="0" applyAlignment="0" applyProtection="0">
      <alignment vertical="center"/>
    </xf>
    <xf numFmtId="0" fontId="30" fillId="0" borderId="63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176" fontId="4" fillId="0" borderId="0" xfId="0" applyNumberFormat="1" applyFont="1" applyFill="1" applyBorder="1" applyAlignment="1">
      <alignment horizontal="center"/>
    </xf>
    <xf numFmtId="176" fontId="4" fillId="0" borderId="0" xfId="0" applyNumberFormat="1" applyFont="1" applyFill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77" fontId="10" fillId="0" borderId="1" xfId="0" applyNumberFormat="1" applyFont="1" applyFill="1" applyBorder="1" applyAlignment="1">
      <alignment horizontal="center"/>
    </xf>
    <xf numFmtId="177" fontId="10" fillId="4" borderId="1" xfId="0" applyNumberFormat="1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0" fontId="8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 wrapText="1"/>
    </xf>
    <xf numFmtId="176" fontId="9" fillId="0" borderId="6" xfId="0" applyNumberFormat="1" applyFont="1" applyFill="1" applyBorder="1" applyAlignment="1">
      <alignment horizontal="left" vertical="center"/>
    </xf>
    <xf numFmtId="176" fontId="9" fillId="0" borderId="8" xfId="0" applyNumberFormat="1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11" fillId="0" borderId="0" xfId="6" applyFont="1" applyBorder="1" applyAlignment="1">
      <alignment horizontal="left" vertical="center" wrapText="1"/>
    </xf>
    <xf numFmtId="176" fontId="9" fillId="0" borderId="0" xfId="0" applyNumberFormat="1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 wrapText="1"/>
    </xf>
    <xf numFmtId="176" fontId="12" fillId="0" borderId="13" xfId="0" applyNumberFormat="1" applyFont="1" applyFill="1" applyBorder="1" applyAlignment="1">
      <alignment horizontal="left" vertical="center"/>
    </xf>
    <xf numFmtId="176" fontId="12" fillId="0" borderId="14" xfId="0" applyNumberFormat="1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center" vertical="center"/>
    </xf>
    <xf numFmtId="176" fontId="12" fillId="0" borderId="15" xfId="0" applyNumberFormat="1" applyFont="1" applyFill="1" applyBorder="1" applyAlignment="1">
      <alignment horizontal="left" vertical="center"/>
    </xf>
    <xf numFmtId="176" fontId="12" fillId="0" borderId="16" xfId="0" applyNumberFormat="1" applyFont="1" applyFill="1" applyBorder="1" applyAlignment="1">
      <alignment horizontal="left" vertical="center"/>
    </xf>
    <xf numFmtId="176" fontId="12" fillId="0" borderId="17" xfId="0" applyNumberFormat="1" applyFont="1" applyFill="1" applyBorder="1" applyAlignment="1">
      <alignment horizontal="left" vertical="center"/>
    </xf>
    <xf numFmtId="176" fontId="12" fillId="0" borderId="18" xfId="0" applyNumberFormat="1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4" fillId="0" borderId="12" xfId="0" applyFont="1" applyFill="1" applyBorder="1" applyAlignment="1">
      <alignment horizontal="left" vertical="center" wrapText="1"/>
    </xf>
    <xf numFmtId="0" fontId="14" fillId="0" borderId="10" xfId="0" applyFont="1" applyFill="1" applyBorder="1" applyAlignment="1">
      <alignment horizontal="left" vertical="center" wrapText="1"/>
    </xf>
    <xf numFmtId="0" fontId="14" fillId="0" borderId="12" xfId="0" applyFont="1" applyFill="1" applyBorder="1" applyAlignment="1">
      <alignment horizontal="left" vertical="center"/>
    </xf>
    <xf numFmtId="176" fontId="14" fillId="0" borderId="19" xfId="0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/>
    </xf>
    <xf numFmtId="176" fontId="14" fillId="0" borderId="20" xfId="0" applyNumberFormat="1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176" fontId="12" fillId="0" borderId="12" xfId="0" applyNumberFormat="1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176" fontId="12" fillId="0" borderId="6" xfId="0" applyNumberFormat="1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7" fillId="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176" fontId="12" fillId="0" borderId="4" xfId="0" applyNumberFormat="1" applyFont="1" applyFill="1" applyBorder="1" applyAlignment="1">
      <alignment horizontal="left" vertical="center"/>
    </xf>
    <xf numFmtId="176" fontId="12" fillId="0" borderId="24" xfId="0" applyNumberFormat="1" applyFont="1" applyFill="1" applyBorder="1" applyAlignment="1">
      <alignment horizontal="left" vertical="center"/>
    </xf>
    <xf numFmtId="176" fontId="14" fillId="0" borderId="4" xfId="0" applyNumberFormat="1" applyFont="1" applyFill="1" applyBorder="1" applyAlignment="1">
      <alignment horizontal="left" vertical="center" wrapText="1"/>
    </xf>
    <xf numFmtId="176" fontId="14" fillId="0" borderId="24" xfId="0" applyNumberFormat="1" applyFont="1" applyFill="1" applyBorder="1" applyAlignment="1">
      <alignment horizontal="left" vertical="center" wrapText="1"/>
    </xf>
    <xf numFmtId="0" fontId="8" fillId="0" borderId="25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horizontal="left" vertical="center" wrapText="1"/>
    </xf>
    <xf numFmtId="176" fontId="12" fillId="0" borderId="27" xfId="0" applyNumberFormat="1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 wrapText="1"/>
    </xf>
    <xf numFmtId="0" fontId="9" fillId="0" borderId="28" xfId="0" applyFont="1" applyFill="1" applyBorder="1" applyAlignment="1">
      <alignment horizontal="left" vertical="center" wrapText="1"/>
    </xf>
    <xf numFmtId="0" fontId="14" fillId="0" borderId="28" xfId="0" applyFont="1" applyFill="1" applyBorder="1" applyAlignment="1">
      <alignment horizontal="left" vertical="center" wrapText="1"/>
    </xf>
    <xf numFmtId="0" fontId="14" fillId="0" borderId="29" xfId="0" applyFont="1" applyFill="1" applyBorder="1" applyAlignment="1">
      <alignment horizontal="left" vertical="center" wrapText="1"/>
    </xf>
    <xf numFmtId="0" fontId="9" fillId="0" borderId="30" xfId="0" applyFont="1" applyFill="1" applyBorder="1" applyAlignment="1">
      <alignment horizontal="left" vertical="center" wrapText="1"/>
    </xf>
    <xf numFmtId="0" fontId="9" fillId="0" borderId="26" xfId="0" applyFont="1" applyFill="1" applyBorder="1" applyAlignment="1">
      <alignment horizontal="left" vertical="center" wrapText="1"/>
    </xf>
    <xf numFmtId="176" fontId="14" fillId="0" borderId="30" xfId="0" applyNumberFormat="1" applyFont="1" applyFill="1" applyBorder="1" applyAlignment="1">
      <alignment horizontal="left" vertical="center"/>
    </xf>
    <xf numFmtId="176" fontId="14" fillId="0" borderId="31" xfId="0" applyNumberFormat="1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9" fillId="0" borderId="3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2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left" vertical="center"/>
    </xf>
    <xf numFmtId="0" fontId="5" fillId="3" borderId="36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8" fillId="0" borderId="37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 wrapText="1"/>
    </xf>
    <xf numFmtId="0" fontId="9" fillId="0" borderId="38" xfId="0" applyFont="1" applyFill="1" applyBorder="1" applyAlignment="1">
      <alignment horizontal="left" vertical="center" wrapText="1"/>
    </xf>
    <xf numFmtId="178" fontId="9" fillId="0" borderId="39" xfId="0" applyNumberFormat="1" applyFont="1" applyFill="1" applyBorder="1" applyAlignment="1">
      <alignment horizontal="left" vertical="center"/>
    </xf>
    <xf numFmtId="176" fontId="10" fillId="0" borderId="0" xfId="0" applyNumberFormat="1" applyFont="1" applyFill="1" applyAlignment="1">
      <alignment horizontal="center"/>
    </xf>
    <xf numFmtId="0" fontId="9" fillId="0" borderId="40" xfId="0" applyFont="1" applyFill="1" applyBorder="1" applyAlignment="1">
      <alignment horizontal="left" vertical="center"/>
    </xf>
    <xf numFmtId="0" fontId="9" fillId="0" borderId="41" xfId="0" applyFont="1" applyFill="1" applyBorder="1" applyAlignment="1">
      <alignment horizontal="left" vertical="center"/>
    </xf>
    <xf numFmtId="178" fontId="9" fillId="0" borderId="20" xfId="0" applyNumberFormat="1" applyFont="1" applyFill="1" applyBorder="1" applyAlignment="1">
      <alignment horizontal="left" vertical="center"/>
    </xf>
    <xf numFmtId="0" fontId="8" fillId="0" borderId="42" xfId="0" applyFont="1" applyFill="1" applyBorder="1" applyAlignment="1">
      <alignment horizontal="left" vertical="center"/>
    </xf>
    <xf numFmtId="0" fontId="9" fillId="0" borderId="43" xfId="0" applyFont="1" applyFill="1" applyBorder="1" applyAlignment="1">
      <alignment horizontal="left" vertical="center"/>
    </xf>
    <xf numFmtId="0" fontId="9" fillId="0" borderId="44" xfId="0" applyFont="1" applyFill="1" applyBorder="1" applyAlignment="1">
      <alignment horizontal="left" vertical="center"/>
    </xf>
    <xf numFmtId="0" fontId="8" fillId="0" borderId="45" xfId="0" applyFont="1" applyFill="1" applyBorder="1" applyAlignment="1">
      <alignment horizontal="left" vertical="center"/>
    </xf>
    <xf numFmtId="0" fontId="9" fillId="0" borderId="46" xfId="0" applyFont="1" applyFill="1" applyBorder="1" applyAlignment="1">
      <alignment horizontal="left" vertical="center"/>
    </xf>
    <xf numFmtId="0" fontId="9" fillId="0" borderId="47" xfId="0" applyFont="1" applyFill="1" applyBorder="1" applyAlignment="1">
      <alignment horizontal="left" vertical="center"/>
    </xf>
    <xf numFmtId="178" fontId="9" fillId="0" borderId="48" xfId="0" applyNumberFormat="1" applyFont="1" applyFill="1" applyBorder="1" applyAlignment="1">
      <alignment horizontal="left" vertical="center"/>
    </xf>
    <xf numFmtId="178" fontId="12" fillId="0" borderId="20" xfId="0" applyNumberFormat="1" applyFont="1" applyFill="1" applyBorder="1" applyAlignment="1">
      <alignment horizontal="left" vertical="center"/>
    </xf>
    <xf numFmtId="0" fontId="9" fillId="0" borderId="49" xfId="0" applyFont="1" applyFill="1" applyBorder="1" applyAlignment="1">
      <alignment horizontal="left" vertical="center" wrapText="1"/>
    </xf>
    <xf numFmtId="0" fontId="9" fillId="0" borderId="50" xfId="0" applyFont="1" applyFill="1" applyBorder="1" applyAlignment="1">
      <alignment horizontal="left" vertical="center" wrapText="1"/>
    </xf>
    <xf numFmtId="178" fontId="12" fillId="0" borderId="48" xfId="0" applyNumberFormat="1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7" fillId="0" borderId="50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51" xfId="0" applyFont="1" applyFill="1" applyBorder="1" applyAlignment="1">
      <alignment horizontal="left" vertical="center"/>
    </xf>
    <xf numFmtId="0" fontId="7" fillId="0" borderId="52" xfId="0" applyFont="1" applyFill="1" applyBorder="1" applyAlignment="1">
      <alignment horizontal="left" vertical="center" wrapText="1"/>
    </xf>
    <xf numFmtId="178" fontId="12" fillId="0" borderId="53" xfId="0" applyNumberFormat="1" applyFont="1" applyFill="1" applyBorder="1" applyAlignment="1">
      <alignment horizontal="left" vertical="center"/>
    </xf>
    <xf numFmtId="0" fontId="13" fillId="0" borderId="54" xfId="0" applyFont="1" applyFill="1" applyBorder="1" applyAlignment="1">
      <alignment horizontal="left" vertical="center"/>
    </xf>
    <xf numFmtId="0" fontId="13" fillId="0" borderId="50" xfId="0" applyFont="1" applyFill="1" applyBorder="1" applyAlignment="1">
      <alignment horizontal="left" vertical="center"/>
    </xf>
    <xf numFmtId="0" fontId="13" fillId="0" borderId="55" xfId="0" applyFont="1" applyFill="1" applyBorder="1" applyAlignment="1">
      <alignment horizontal="left" vertical="center"/>
    </xf>
    <xf numFmtId="0" fontId="14" fillId="0" borderId="26" xfId="0" applyFont="1" applyFill="1" applyBorder="1" applyAlignment="1">
      <alignment horizontal="left" vertical="center"/>
    </xf>
    <xf numFmtId="0" fontId="14" fillId="0" borderId="25" xfId="0" applyFont="1" applyFill="1" applyBorder="1" applyAlignment="1">
      <alignment horizontal="left" vertical="center"/>
    </xf>
    <xf numFmtId="0" fontId="14" fillId="0" borderId="24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3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7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0" borderId="25" xfId="0" applyFont="1" applyFill="1" applyBorder="1" applyAlignment="1">
      <alignment horizontal="left" vertical="center"/>
    </xf>
    <xf numFmtId="0" fontId="7" fillId="0" borderId="26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left" vertical="center"/>
    </xf>
    <xf numFmtId="179" fontId="7" fillId="0" borderId="7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4" displayName="表4" ref="A16:F28" totalsRowShown="0">
  <tableColumns count="6">
    <tableColumn id="1" name="更新后物流产品名称"/>
    <tableColumn id="2" name="更新报价时候会用到的简称（不对外，对内）"/>
    <tableColumn id="3" name="报价类型"/>
    <tableColumn id="4" name="适用客户"/>
    <tableColumn id="5" name="适用报价版本"/>
    <tableColumn id="6" name="备注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ps.com/us/en/support/shipping-support/shipping-costs-rates/fuel-surcharges.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B9" sqref="B9:B12"/>
    </sheetView>
  </sheetViews>
  <sheetFormatPr defaultColWidth="8.88888888888889" defaultRowHeight="14.4" outlineLevelCol="5"/>
  <cols>
    <col min="1" max="1" width="22.2222222222222" customWidth="1"/>
    <col min="2" max="2" width="38.1111111111111" customWidth="1"/>
    <col min="3" max="3" width="40.2222222222222" customWidth="1"/>
    <col min="4" max="4" width="19.8888888888889" customWidth="1"/>
    <col min="5" max="5" width="21.5555555555556" customWidth="1"/>
  </cols>
  <sheetData>
    <row r="1" spans="1:6">
      <c r="A1" s="131" t="s">
        <v>0</v>
      </c>
      <c r="B1" s="131"/>
      <c r="C1" s="131"/>
      <c r="D1" s="132"/>
      <c r="E1" s="132"/>
    </row>
    <row r="2" spans="1:6">
      <c r="A2" s="133" t="s">
        <v>1</v>
      </c>
      <c r="B2" s="133" t="s">
        <v>2</v>
      </c>
      <c r="C2" s="133" t="s">
        <v>3</v>
      </c>
      <c r="D2" s="132"/>
      <c r="E2" s="132"/>
    </row>
    <row r="3" hidden="1" spans="1:6">
      <c r="A3" s="133" t="s">
        <v>4</v>
      </c>
      <c r="B3" s="134" t="s">
        <v>5</v>
      </c>
      <c r="C3" s="133" t="s">
        <v>6</v>
      </c>
      <c r="D3" s="132"/>
      <c r="E3" s="132"/>
    </row>
    <row r="4" hidden="1" spans="1:6">
      <c r="A4" s="133" t="s">
        <v>7</v>
      </c>
      <c r="B4" s="134" t="s">
        <v>8</v>
      </c>
      <c r="C4" s="133" t="s">
        <v>9</v>
      </c>
      <c r="D4" s="132"/>
      <c r="E4" s="132"/>
    </row>
    <row r="5" hidden="1" spans="1:6">
      <c r="A5" s="133" t="s">
        <v>10</v>
      </c>
      <c r="B5" s="134" t="s">
        <v>11</v>
      </c>
      <c r="C5" s="133" t="s">
        <v>12</v>
      </c>
      <c r="D5" s="132"/>
      <c r="E5" s="132"/>
    </row>
    <row r="6" hidden="1" spans="1:6">
      <c r="A6" s="133" t="s">
        <v>10</v>
      </c>
      <c r="B6" s="134" t="s">
        <v>13</v>
      </c>
      <c r="C6" s="133" t="s">
        <v>14</v>
      </c>
      <c r="D6" s="132"/>
      <c r="E6" s="132"/>
    </row>
    <row r="7" hidden="1" spans="1:6">
      <c r="A7" s="133" t="s">
        <v>4</v>
      </c>
      <c r="B7" s="134" t="s">
        <v>15</v>
      </c>
      <c r="C7" s="133" t="s">
        <v>16</v>
      </c>
      <c r="D7" s="132"/>
      <c r="E7" s="132"/>
    </row>
    <row r="8" hidden="1" spans="1:6">
      <c r="A8" s="133" t="s">
        <v>7</v>
      </c>
      <c r="B8" s="134" t="s">
        <v>17</v>
      </c>
      <c r="C8" s="133" t="s">
        <v>18</v>
      </c>
      <c r="D8" s="132"/>
      <c r="E8" s="132"/>
    </row>
    <row r="9" spans="1:6">
      <c r="A9" s="133" t="s">
        <v>19</v>
      </c>
      <c r="B9" s="133" t="s">
        <v>19</v>
      </c>
      <c r="C9" s="133" t="s">
        <v>20</v>
      </c>
      <c r="D9" s="132"/>
      <c r="E9" s="132"/>
    </row>
    <row r="10" spans="1:6">
      <c r="A10" s="133" t="s">
        <v>21</v>
      </c>
      <c r="B10" s="133" t="s">
        <v>22</v>
      </c>
      <c r="C10" s="133" t="s">
        <v>23</v>
      </c>
      <c r="D10" s="132"/>
      <c r="E10" s="132"/>
    </row>
    <row r="11" spans="1:6">
      <c r="A11" s="133" t="s">
        <v>24</v>
      </c>
      <c r="B11" s="133" t="s">
        <v>25</v>
      </c>
      <c r="C11" s="133" t="s">
        <v>26</v>
      </c>
      <c r="D11" s="132"/>
      <c r="E11" s="132"/>
    </row>
    <row r="12" spans="1:6">
      <c r="A12" s="133" t="s">
        <v>19</v>
      </c>
      <c r="B12" s="133" t="s">
        <v>27</v>
      </c>
      <c r="C12" s="133" t="s">
        <v>28</v>
      </c>
      <c r="D12" s="132"/>
      <c r="E12" s="132"/>
    </row>
    <row r="13" spans="1:6">
      <c r="A13" s="132"/>
      <c r="B13" s="132"/>
      <c r="C13" s="132"/>
      <c r="D13" s="132"/>
      <c r="E13" s="132"/>
    </row>
    <row r="14" spans="1:6">
      <c r="A14" s="132"/>
      <c r="B14" s="132"/>
      <c r="C14" s="132"/>
      <c r="D14" s="132"/>
      <c r="E14" s="132"/>
    </row>
    <row r="15" spans="1:6">
      <c r="A15" s="135" t="s">
        <v>29</v>
      </c>
      <c r="B15" s="135"/>
      <c r="C15" s="135"/>
      <c r="D15" s="135"/>
      <c r="E15" s="135"/>
    </row>
    <row r="16" spans="1:6">
      <c r="A16" s="133" t="s">
        <v>30</v>
      </c>
      <c r="B16" s="133" t="s">
        <v>31</v>
      </c>
      <c r="C16" s="133" t="s">
        <v>3</v>
      </c>
      <c r="D16" s="133" t="s">
        <v>32</v>
      </c>
      <c r="E16" s="133" t="s">
        <v>33</v>
      </c>
      <c r="F16" s="133" t="s">
        <v>34</v>
      </c>
    </row>
    <row r="17" spans="1:6">
      <c r="A17" s="133" t="s">
        <v>35</v>
      </c>
      <c r="B17" s="133" t="s">
        <v>35</v>
      </c>
      <c r="C17" s="133" t="s">
        <v>36</v>
      </c>
      <c r="D17" s="133" t="s">
        <v>37</v>
      </c>
      <c r="E17" s="133" t="s">
        <v>38</v>
      </c>
      <c r="F17" s="133"/>
    </row>
    <row r="18" spans="1:6">
      <c r="A18" s="133" t="s">
        <v>39</v>
      </c>
      <c r="B18" s="133" t="s">
        <v>39</v>
      </c>
      <c r="C18" s="133" t="s">
        <v>36</v>
      </c>
      <c r="D18" s="133" t="s">
        <v>40</v>
      </c>
      <c r="E18" s="133" t="s">
        <v>41</v>
      </c>
      <c r="F18" s="133"/>
    </row>
    <row r="19" spans="1:6">
      <c r="A19" s="136" t="s">
        <v>42</v>
      </c>
      <c r="B19" s="136" t="s">
        <v>43</v>
      </c>
      <c r="C19" s="136" t="s">
        <v>36</v>
      </c>
      <c r="D19" s="136" t="s">
        <v>44</v>
      </c>
      <c r="E19" s="136" t="s">
        <v>45</v>
      </c>
      <c r="F19" s="136" t="s">
        <v>46</v>
      </c>
    </row>
    <row r="20" spans="1:6">
      <c r="A20" s="133" t="s">
        <v>47</v>
      </c>
      <c r="B20" s="133" t="s">
        <v>48</v>
      </c>
      <c r="C20" s="133" t="s">
        <v>49</v>
      </c>
      <c r="D20" s="133" t="s">
        <v>37</v>
      </c>
      <c r="E20" s="133" t="s">
        <v>38</v>
      </c>
      <c r="F20" s="133"/>
    </row>
    <row r="21" spans="1:6">
      <c r="A21" s="133" t="s">
        <v>50</v>
      </c>
      <c r="B21" s="133" t="s">
        <v>51</v>
      </c>
      <c r="C21" s="133" t="s">
        <v>52</v>
      </c>
      <c r="D21" s="133" t="s">
        <v>37</v>
      </c>
      <c r="E21" s="133" t="s">
        <v>38</v>
      </c>
      <c r="F21" s="133"/>
    </row>
    <row r="22" spans="1:6">
      <c r="A22" s="133" t="s">
        <v>53</v>
      </c>
      <c r="B22" s="133" t="s">
        <v>54</v>
      </c>
      <c r="C22" s="133" t="s">
        <v>36</v>
      </c>
      <c r="D22" s="133" t="s">
        <v>37</v>
      </c>
      <c r="E22" s="133" t="s">
        <v>38</v>
      </c>
      <c r="F22" s="133"/>
    </row>
    <row r="23" spans="1:6">
      <c r="A23" s="133" t="s">
        <v>55</v>
      </c>
      <c r="B23" s="133" t="s">
        <v>56</v>
      </c>
      <c r="C23" s="133" t="s">
        <v>36</v>
      </c>
      <c r="D23" s="133" t="s">
        <v>57</v>
      </c>
      <c r="E23" s="133" t="s">
        <v>38</v>
      </c>
      <c r="F23" s="133"/>
    </row>
    <row r="24" spans="1:6">
      <c r="A24" s="133" t="s">
        <v>58</v>
      </c>
      <c r="B24" s="133" t="s">
        <v>58</v>
      </c>
      <c r="C24" s="133" t="s">
        <v>36</v>
      </c>
      <c r="D24" s="133" t="s">
        <v>59</v>
      </c>
      <c r="E24" s="133" t="s">
        <v>41</v>
      </c>
      <c r="F24" s="133"/>
    </row>
    <row r="25" spans="1:6">
      <c r="A25" s="133" t="s">
        <v>60</v>
      </c>
      <c r="B25" s="133" t="s">
        <v>61</v>
      </c>
      <c r="C25" s="133" t="s">
        <v>36</v>
      </c>
      <c r="D25" s="133" t="s">
        <v>59</v>
      </c>
      <c r="E25" s="133" t="s">
        <v>41</v>
      </c>
      <c r="F25" s="133"/>
    </row>
    <row r="26" spans="1:6">
      <c r="A26" s="133" t="s">
        <v>62</v>
      </c>
      <c r="B26" s="133" t="s">
        <v>63</v>
      </c>
      <c r="C26" s="133" t="s">
        <v>64</v>
      </c>
      <c r="D26" s="133" t="s">
        <v>37</v>
      </c>
      <c r="E26" s="133" t="s">
        <v>38</v>
      </c>
      <c r="F26" s="133"/>
    </row>
    <row r="27" spans="1:6">
      <c r="A27" s="133" t="s">
        <v>65</v>
      </c>
      <c r="B27" s="133" t="s">
        <v>66</v>
      </c>
      <c r="C27" s="133" t="s">
        <v>64</v>
      </c>
      <c r="D27" s="133" t="s">
        <v>37</v>
      </c>
      <c r="E27" s="133" t="s">
        <v>38</v>
      </c>
      <c r="F27" s="133"/>
    </row>
    <row r="28" spans="1:6">
      <c r="A28" s="133" t="s">
        <v>67</v>
      </c>
      <c r="B28" s="133" t="s">
        <v>67</v>
      </c>
      <c r="C28" s="133" t="s">
        <v>68</v>
      </c>
      <c r="D28" s="133" t="s">
        <v>69</v>
      </c>
      <c r="E28" s="133" t="s">
        <v>70</v>
      </c>
      <c r="F28" s="133"/>
    </row>
    <row r="31" spans="1:6">
      <c r="A31" s="131" t="s">
        <v>71</v>
      </c>
      <c r="B31" s="131"/>
      <c r="C31" s="131"/>
      <c r="D31" s="131"/>
      <c r="E31" s="131"/>
    </row>
    <row r="32" spans="1:6">
      <c r="A32" s="137" t="s">
        <v>72</v>
      </c>
      <c r="B32" s="137"/>
      <c r="C32" s="137"/>
      <c r="D32" s="137"/>
      <c r="E32" s="132"/>
    </row>
    <row r="33" spans="1:5">
      <c r="A33" s="138" t="s">
        <v>73</v>
      </c>
      <c r="B33" s="139"/>
      <c r="C33" s="139"/>
      <c r="D33" s="139"/>
      <c r="E33" s="139"/>
    </row>
    <row r="34" spans="1:5">
      <c r="A34" s="140" t="s">
        <v>74</v>
      </c>
      <c r="B34" s="141"/>
      <c r="C34" s="141"/>
      <c r="D34" s="141"/>
      <c r="E34" s="142"/>
    </row>
    <row r="35" spans="1:5">
      <c r="A35" s="133" t="s">
        <v>75</v>
      </c>
      <c r="B35" s="133" t="s">
        <v>76</v>
      </c>
      <c r="C35" s="133" t="s">
        <v>77</v>
      </c>
      <c r="D35" s="133" t="s">
        <v>78</v>
      </c>
      <c r="E35" s="36" t="s">
        <v>79</v>
      </c>
    </row>
    <row r="36" spans="1:5">
      <c r="A36" s="133" t="s">
        <v>42</v>
      </c>
      <c r="B36" s="143" t="s">
        <v>80</v>
      </c>
      <c r="C36" s="144"/>
      <c r="D36" s="133" t="s">
        <v>81</v>
      </c>
      <c r="E36" s="36" t="s">
        <v>82</v>
      </c>
    </row>
    <row r="37" spans="1:5">
      <c r="A37" s="133" t="s">
        <v>53</v>
      </c>
      <c r="B37" s="133" t="s">
        <v>83</v>
      </c>
      <c r="C37" s="133"/>
      <c r="D37" s="145">
        <v>46094</v>
      </c>
      <c r="E37" s="36" t="s">
        <v>84</v>
      </c>
    </row>
  </sheetData>
  <mergeCells count="8">
    <mergeCell ref="A1:C1"/>
    <mergeCell ref="A15:E15"/>
    <mergeCell ref="A31:E31"/>
    <mergeCell ref="A32:D32"/>
    <mergeCell ref="A33:E33"/>
    <mergeCell ref="A34:E34"/>
    <mergeCell ref="B36:C36"/>
    <mergeCell ref="B37:C37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7"/>
  <sheetViews>
    <sheetView tabSelected="1" topLeftCell="C1" workbookViewId="0">
      <selection activeCell="P3" sqref="P3:W37"/>
    </sheetView>
  </sheetViews>
  <sheetFormatPr defaultColWidth="8.88888888888889" defaultRowHeight="14.4"/>
  <cols>
    <col min="1" max="1" width="27.8888888888889" customWidth="1"/>
    <col min="13" max="13" width="14.1111111111111" customWidth="1"/>
    <col min="25" max="25" width="19.3333333333333" customWidth="1"/>
    <col min="34" max="34" width="10.6666666666667" customWidth="1"/>
    <col min="35" max="35" width="16.7777777777778" customWidth="1"/>
  </cols>
  <sheetData>
    <row r="1" ht="18" spans="1:35">
      <c r="A1" s="1" t="s">
        <v>2</v>
      </c>
      <c r="B1" s="2" t="s">
        <v>85</v>
      </c>
      <c r="C1" s="3"/>
      <c r="D1" s="89" t="s">
        <v>86</v>
      </c>
      <c r="E1" s="90"/>
      <c r="F1" s="90"/>
      <c r="G1" s="90"/>
      <c r="H1" s="90"/>
      <c r="I1" s="90"/>
      <c r="J1" s="90"/>
      <c r="K1" s="90"/>
      <c r="M1" s="1" t="s">
        <v>2</v>
      </c>
      <c r="N1" s="2" t="s">
        <v>85</v>
      </c>
      <c r="O1" s="3"/>
      <c r="P1" s="89" t="s">
        <v>86</v>
      </c>
      <c r="Q1" s="90"/>
      <c r="R1" s="90"/>
      <c r="S1" s="90"/>
      <c r="T1" s="90"/>
      <c r="U1" s="90"/>
      <c r="V1" s="90"/>
      <c r="W1" s="90"/>
      <c r="Y1" s="1" t="s">
        <v>2</v>
      </c>
      <c r="Z1" s="91" t="s">
        <v>87</v>
      </c>
      <c r="AA1" s="92"/>
      <c r="AB1" s="92"/>
      <c r="AC1" s="92"/>
      <c r="AD1" s="92"/>
      <c r="AE1" s="8" t="s">
        <v>88</v>
      </c>
      <c r="AF1" s="7"/>
      <c r="AG1" s="7"/>
      <c r="AH1" s="93"/>
      <c r="AI1" s="8" t="s">
        <v>89</v>
      </c>
    </row>
    <row r="2" ht="18" spans="1:35">
      <c r="A2" s="1" t="s">
        <v>19</v>
      </c>
      <c r="B2" s="13" t="s">
        <v>90</v>
      </c>
      <c r="C2" s="13" t="s">
        <v>91</v>
      </c>
      <c r="D2" s="13">
        <v>1</v>
      </c>
      <c r="E2" s="13">
        <v>2</v>
      </c>
      <c r="F2" s="13">
        <v>3</v>
      </c>
      <c r="G2" s="13">
        <v>4</v>
      </c>
      <c r="H2" s="13">
        <v>5</v>
      </c>
      <c r="I2" s="13">
        <v>6</v>
      </c>
      <c r="J2" s="13">
        <v>7</v>
      </c>
      <c r="K2" s="13">
        <v>8</v>
      </c>
      <c r="M2" s="1" t="s">
        <v>27</v>
      </c>
      <c r="N2" s="13" t="s">
        <v>90</v>
      </c>
      <c r="O2" s="13" t="s">
        <v>91</v>
      </c>
      <c r="P2" s="13">
        <v>1</v>
      </c>
      <c r="Q2" s="13">
        <v>2</v>
      </c>
      <c r="R2" s="13">
        <v>3</v>
      </c>
      <c r="S2" s="13">
        <v>4</v>
      </c>
      <c r="T2" s="13">
        <v>5</v>
      </c>
      <c r="U2" s="13">
        <v>6</v>
      </c>
      <c r="V2" s="13">
        <v>7</v>
      </c>
      <c r="W2" s="13">
        <v>8</v>
      </c>
      <c r="Y2" s="1" t="s">
        <v>19</v>
      </c>
      <c r="Z2" s="24" t="s">
        <v>92</v>
      </c>
      <c r="AA2" s="25"/>
      <c r="AB2" s="25"/>
      <c r="AC2" s="25"/>
      <c r="AD2" s="94"/>
      <c r="AE2" s="95" t="s">
        <v>93</v>
      </c>
      <c r="AF2" s="96"/>
      <c r="AG2" s="96"/>
      <c r="AH2" s="96"/>
      <c r="AI2" s="97" t="s">
        <v>94</v>
      </c>
    </row>
    <row r="3" ht="16.35" spans="1:35">
      <c r="B3" s="22">
        <f t="shared" ref="B3:B17" si="0">C3/16</f>
        <v>0.0625</v>
      </c>
      <c r="C3" s="21">
        <v>1</v>
      </c>
      <c r="D3" s="23">
        <v>3.44</v>
      </c>
      <c r="E3" s="23">
        <v>3.51</v>
      </c>
      <c r="F3" s="23">
        <v>3.65</v>
      </c>
      <c r="G3" s="23">
        <v>3.65</v>
      </c>
      <c r="H3" s="23">
        <v>3.91</v>
      </c>
      <c r="I3" s="23">
        <v>4.03</v>
      </c>
      <c r="J3" s="23">
        <v>4.07</v>
      </c>
      <c r="K3" s="23">
        <v>4.11</v>
      </c>
      <c r="L3" s="98"/>
      <c r="N3" s="22">
        <f t="shared" ref="N3:N17" si="1">O3/16</f>
        <v>0.0625</v>
      </c>
      <c r="O3" s="21">
        <v>1</v>
      </c>
      <c r="P3" s="23">
        <v>3.04</v>
      </c>
      <c r="Q3" s="23">
        <v>3.1</v>
      </c>
      <c r="R3" s="23">
        <v>3.22</v>
      </c>
      <c r="S3" s="23">
        <v>3.22</v>
      </c>
      <c r="T3" s="23">
        <v>3.45</v>
      </c>
      <c r="U3" s="23">
        <v>3.56</v>
      </c>
      <c r="V3" s="23">
        <v>3.59</v>
      </c>
      <c r="W3" s="23">
        <v>3.63</v>
      </c>
      <c r="Y3" s="1" t="s">
        <v>27</v>
      </c>
      <c r="Z3" s="24" t="s">
        <v>95</v>
      </c>
      <c r="AA3" s="25"/>
      <c r="AB3" s="25"/>
      <c r="AC3" s="25"/>
      <c r="AD3" s="94"/>
      <c r="AE3" s="99" t="s">
        <v>96</v>
      </c>
      <c r="AF3" s="100"/>
      <c r="AG3" s="100"/>
      <c r="AH3" s="100"/>
      <c r="AI3" s="101" t="s">
        <v>94</v>
      </c>
    </row>
    <row r="4" ht="16.35" spans="1:35">
      <c r="B4" s="22">
        <f t="shared" si="0"/>
        <v>0.125</v>
      </c>
      <c r="C4" s="21">
        <v>2</v>
      </c>
      <c r="D4" s="23">
        <v>3.44</v>
      </c>
      <c r="E4" s="23">
        <v>3.51</v>
      </c>
      <c r="F4" s="23">
        <v>3.65</v>
      </c>
      <c r="G4" s="23">
        <v>3.65</v>
      </c>
      <c r="H4" s="23">
        <v>3.91</v>
      </c>
      <c r="I4" s="23">
        <v>4.11</v>
      </c>
      <c r="J4" s="23">
        <v>4.14</v>
      </c>
      <c r="K4" s="23">
        <v>4.17</v>
      </c>
      <c r="L4" s="98"/>
      <c r="N4" s="22">
        <f t="shared" si="1"/>
        <v>0.125</v>
      </c>
      <c r="O4" s="21">
        <v>2</v>
      </c>
      <c r="P4" s="23">
        <v>3.04</v>
      </c>
      <c r="Q4" s="23">
        <v>3.1</v>
      </c>
      <c r="R4" s="23">
        <v>3.22</v>
      </c>
      <c r="S4" s="23">
        <v>3.22</v>
      </c>
      <c r="T4" s="23">
        <v>3.45</v>
      </c>
      <c r="U4" s="23">
        <v>3.63</v>
      </c>
      <c r="V4" s="23">
        <v>3.65</v>
      </c>
      <c r="W4" s="23">
        <v>3.68</v>
      </c>
      <c r="X4" s="98"/>
      <c r="Z4" s="29"/>
      <c r="AA4" s="30"/>
      <c r="AB4" s="30"/>
      <c r="AC4" s="30"/>
      <c r="AD4" s="102"/>
      <c r="AE4" s="103" t="s">
        <v>97</v>
      </c>
      <c r="AF4" s="104"/>
      <c r="AG4" s="104"/>
      <c r="AH4" s="104"/>
      <c r="AI4" s="101"/>
    </row>
    <row r="5" ht="15.6" spans="1:35">
      <c r="B5" s="22">
        <f t="shared" si="0"/>
        <v>0.1875</v>
      </c>
      <c r="C5" s="21">
        <v>3</v>
      </c>
      <c r="D5" s="23">
        <v>3.44</v>
      </c>
      <c r="E5" s="23">
        <v>3.51</v>
      </c>
      <c r="F5" s="23">
        <v>3.65</v>
      </c>
      <c r="G5" s="23">
        <v>3.83</v>
      </c>
      <c r="H5" s="23">
        <v>4.13</v>
      </c>
      <c r="I5" s="23">
        <v>4.27</v>
      </c>
      <c r="J5" s="23">
        <v>4.31</v>
      </c>
      <c r="K5" s="23">
        <v>4.33</v>
      </c>
      <c r="L5" s="98"/>
      <c r="N5" s="22">
        <f t="shared" si="1"/>
        <v>0.1875</v>
      </c>
      <c r="O5" s="21">
        <v>3</v>
      </c>
      <c r="P5" s="23">
        <v>3.04</v>
      </c>
      <c r="Q5" s="23">
        <v>3.1</v>
      </c>
      <c r="R5" s="23">
        <v>3.22</v>
      </c>
      <c r="S5" s="23">
        <v>3.38</v>
      </c>
      <c r="T5" s="23">
        <v>3.64</v>
      </c>
      <c r="U5" s="23">
        <v>3.77</v>
      </c>
      <c r="V5" s="23">
        <v>3.8</v>
      </c>
      <c r="W5" s="23">
        <v>3.82</v>
      </c>
      <c r="X5" s="98"/>
      <c r="Z5" s="71"/>
      <c r="AA5" s="72"/>
      <c r="AB5" s="72"/>
      <c r="AC5" s="72"/>
      <c r="AD5" s="105"/>
      <c r="AE5" s="106" t="s">
        <v>98</v>
      </c>
      <c r="AF5" s="107"/>
      <c r="AG5" s="107"/>
      <c r="AH5" s="107"/>
      <c r="AI5" s="108"/>
    </row>
    <row r="6" ht="16.35" spans="1:35">
      <c r="B6" s="22">
        <f t="shared" si="0"/>
        <v>0.25</v>
      </c>
      <c r="C6" s="21">
        <v>4</v>
      </c>
      <c r="D6" s="23">
        <v>3.44</v>
      </c>
      <c r="E6" s="23">
        <v>3.51</v>
      </c>
      <c r="F6" s="23">
        <v>3.65</v>
      </c>
      <c r="G6" s="23">
        <v>3.83</v>
      </c>
      <c r="H6" s="23">
        <v>4.22</v>
      </c>
      <c r="I6" s="23">
        <v>4.37</v>
      </c>
      <c r="J6" s="23">
        <v>4.38</v>
      </c>
      <c r="K6" s="23">
        <v>4.5</v>
      </c>
      <c r="L6" s="98"/>
      <c r="N6" s="22">
        <f t="shared" si="1"/>
        <v>0.25</v>
      </c>
      <c r="O6" s="21">
        <v>4</v>
      </c>
      <c r="P6" s="23">
        <v>3.04</v>
      </c>
      <c r="Q6" s="23">
        <v>3.1</v>
      </c>
      <c r="R6" s="23">
        <v>3.22</v>
      </c>
      <c r="S6" s="23">
        <v>3.38</v>
      </c>
      <c r="T6" s="23">
        <v>3.72</v>
      </c>
      <c r="U6" s="23">
        <v>3.85</v>
      </c>
      <c r="V6" s="23">
        <v>3.86</v>
      </c>
      <c r="W6" s="23">
        <v>3.97</v>
      </c>
      <c r="X6" s="98"/>
      <c r="Z6" s="24" t="s">
        <v>99</v>
      </c>
      <c r="AA6" s="25"/>
      <c r="AB6" s="25"/>
      <c r="AC6" s="25"/>
      <c r="AD6" s="94"/>
      <c r="AE6" s="99" t="s">
        <v>100</v>
      </c>
      <c r="AF6" s="100"/>
      <c r="AG6" s="100"/>
      <c r="AH6" s="100"/>
      <c r="AI6" s="109">
        <v>15</v>
      </c>
    </row>
    <row r="7" ht="16.35" spans="1:35">
      <c r="B7" s="22">
        <f t="shared" si="0"/>
        <v>0.3125</v>
      </c>
      <c r="C7" s="21">
        <v>5</v>
      </c>
      <c r="D7" s="23">
        <v>3.47</v>
      </c>
      <c r="E7" s="23">
        <v>3.51</v>
      </c>
      <c r="F7" s="23">
        <v>3.71</v>
      </c>
      <c r="G7" s="23">
        <v>4.06</v>
      </c>
      <c r="H7" s="23">
        <v>4.37</v>
      </c>
      <c r="I7" s="23">
        <v>4.65</v>
      </c>
      <c r="J7" s="23">
        <v>4.69</v>
      </c>
      <c r="K7" s="23">
        <v>4.75</v>
      </c>
      <c r="L7" s="98"/>
      <c r="N7" s="22">
        <f t="shared" si="1"/>
        <v>0.3125</v>
      </c>
      <c r="O7" s="21">
        <v>5</v>
      </c>
      <c r="P7" s="23">
        <v>3.06</v>
      </c>
      <c r="Q7" s="23">
        <v>3.1</v>
      </c>
      <c r="R7" s="23">
        <v>3.27</v>
      </c>
      <c r="S7" s="23">
        <v>3.58</v>
      </c>
      <c r="T7" s="23">
        <v>3.85</v>
      </c>
      <c r="U7" s="23">
        <v>4.1</v>
      </c>
      <c r="V7" s="23">
        <v>4.13</v>
      </c>
      <c r="W7" s="23">
        <v>4.19</v>
      </c>
      <c r="X7" s="98"/>
      <c r="Z7" s="29"/>
      <c r="AA7" s="30"/>
      <c r="AB7" s="30"/>
      <c r="AC7" s="30"/>
      <c r="AD7" s="102"/>
      <c r="AE7" s="99" t="s">
        <v>101</v>
      </c>
      <c r="AF7" s="100"/>
      <c r="AG7" s="100"/>
      <c r="AH7" s="100"/>
      <c r="AI7" s="109"/>
    </row>
    <row r="8" ht="16.35" spans="1:35">
      <c r="B8" s="22">
        <f t="shared" si="0"/>
        <v>0.375</v>
      </c>
      <c r="C8" s="21">
        <v>6</v>
      </c>
      <c r="D8" s="23">
        <v>3.47</v>
      </c>
      <c r="E8" s="23">
        <v>3.51</v>
      </c>
      <c r="F8" s="23">
        <v>3.71</v>
      </c>
      <c r="G8" s="23">
        <v>4.06</v>
      </c>
      <c r="H8" s="23">
        <v>4.41</v>
      </c>
      <c r="I8" s="23">
        <v>4.65</v>
      </c>
      <c r="J8" s="23">
        <v>4.71</v>
      </c>
      <c r="K8" s="23">
        <v>4.78</v>
      </c>
      <c r="L8" s="98"/>
      <c r="N8" s="22">
        <f t="shared" si="1"/>
        <v>0.375</v>
      </c>
      <c r="O8" s="21">
        <v>6</v>
      </c>
      <c r="P8" s="23">
        <v>3.06</v>
      </c>
      <c r="Q8" s="23">
        <v>3.1</v>
      </c>
      <c r="R8" s="23">
        <v>3.27</v>
      </c>
      <c r="S8" s="23">
        <v>3.58</v>
      </c>
      <c r="T8" s="23">
        <v>3.89</v>
      </c>
      <c r="U8" s="23">
        <v>4.1</v>
      </c>
      <c r="V8" s="23">
        <v>4.16</v>
      </c>
      <c r="W8" s="23">
        <v>4.22</v>
      </c>
      <c r="X8" s="98"/>
      <c r="Z8" s="29"/>
      <c r="AA8" s="30"/>
      <c r="AB8" s="30"/>
      <c r="AC8" s="30"/>
      <c r="AD8" s="102"/>
      <c r="AE8" s="99" t="s">
        <v>102</v>
      </c>
      <c r="AF8" s="100"/>
      <c r="AG8" s="100"/>
      <c r="AH8" s="100"/>
      <c r="AI8" s="109"/>
    </row>
    <row r="9" ht="15.6" spans="1:35">
      <c r="B9" s="22">
        <f t="shared" si="0"/>
        <v>0.4375</v>
      </c>
      <c r="C9" s="21">
        <v>7</v>
      </c>
      <c r="D9" s="23">
        <v>3.47</v>
      </c>
      <c r="E9" s="23">
        <v>3.51</v>
      </c>
      <c r="F9" s="23">
        <v>3.71</v>
      </c>
      <c r="G9" s="23">
        <v>4.06</v>
      </c>
      <c r="H9" s="23">
        <v>4.46</v>
      </c>
      <c r="I9" s="23">
        <v>4.73</v>
      </c>
      <c r="J9" s="23">
        <v>4.87</v>
      </c>
      <c r="K9" s="23">
        <v>4.97</v>
      </c>
      <c r="L9" s="98"/>
      <c r="N9" s="22">
        <f t="shared" si="1"/>
        <v>0.4375</v>
      </c>
      <c r="O9" s="21">
        <v>7</v>
      </c>
      <c r="P9" s="23">
        <v>3.06</v>
      </c>
      <c r="Q9" s="23">
        <v>3.1</v>
      </c>
      <c r="R9" s="23">
        <v>3.27</v>
      </c>
      <c r="S9" s="23">
        <v>3.58</v>
      </c>
      <c r="T9" s="23">
        <v>3.93</v>
      </c>
      <c r="U9" s="23">
        <v>4.17</v>
      </c>
      <c r="V9" s="23">
        <v>4.3</v>
      </c>
      <c r="W9" s="23">
        <v>4.38</v>
      </c>
      <c r="X9" s="98"/>
      <c r="Z9" s="71"/>
      <c r="AA9" s="72"/>
      <c r="AB9" s="72"/>
      <c r="AC9" s="72"/>
      <c r="AD9" s="105"/>
      <c r="AE9" s="110" t="s">
        <v>103</v>
      </c>
      <c r="AF9" s="111"/>
      <c r="AG9" s="111"/>
      <c r="AH9" s="111"/>
      <c r="AI9" s="112"/>
    </row>
    <row r="10" ht="15.6" spans="1:35">
      <c r="B10" s="22">
        <f t="shared" si="0"/>
        <v>0.5</v>
      </c>
      <c r="C10" s="21">
        <v>8</v>
      </c>
      <c r="D10" s="23">
        <v>3.47</v>
      </c>
      <c r="E10" s="23">
        <v>3.51</v>
      </c>
      <c r="F10" s="23">
        <v>3.71</v>
      </c>
      <c r="G10" s="23">
        <v>4.06</v>
      </c>
      <c r="H10" s="23">
        <v>4.57</v>
      </c>
      <c r="I10" s="23">
        <v>4.74</v>
      </c>
      <c r="J10" s="23">
        <v>5.03</v>
      </c>
      <c r="K10" s="23">
        <v>5.73</v>
      </c>
      <c r="L10" s="98"/>
      <c r="N10" s="22">
        <f t="shared" si="1"/>
        <v>0.5</v>
      </c>
      <c r="O10" s="21">
        <v>8</v>
      </c>
      <c r="P10" s="23">
        <v>3.06</v>
      </c>
      <c r="Q10" s="23">
        <v>3.1</v>
      </c>
      <c r="R10" s="23">
        <v>3.27</v>
      </c>
      <c r="S10" s="23">
        <v>3.58</v>
      </c>
      <c r="T10" s="23">
        <v>4.03</v>
      </c>
      <c r="U10" s="23">
        <v>4.18</v>
      </c>
      <c r="V10" s="23">
        <v>4.44</v>
      </c>
      <c r="W10" s="23">
        <v>5.05</v>
      </c>
      <c r="X10" s="98"/>
      <c r="Z10" s="15" t="s">
        <v>104</v>
      </c>
      <c r="AA10" s="16"/>
      <c r="AB10" s="16"/>
      <c r="AC10" s="16"/>
      <c r="AD10" s="113"/>
      <c r="AE10" s="110" t="s">
        <v>105</v>
      </c>
      <c r="AF10" s="111"/>
      <c r="AG10" s="111"/>
      <c r="AH10" s="111"/>
      <c r="AI10" s="112">
        <v>1</v>
      </c>
    </row>
    <row r="11" ht="15.6" spans="1:35">
      <c r="B11" s="22">
        <f t="shared" si="0"/>
        <v>0.5625</v>
      </c>
      <c r="C11" s="21">
        <v>9</v>
      </c>
      <c r="D11" s="23">
        <v>3.5</v>
      </c>
      <c r="E11" s="23">
        <v>3.59</v>
      </c>
      <c r="F11" s="23">
        <v>3.75</v>
      </c>
      <c r="G11" s="23">
        <v>4.35</v>
      </c>
      <c r="H11" s="23">
        <v>4.75</v>
      </c>
      <c r="I11" s="23">
        <v>5.07</v>
      </c>
      <c r="J11" s="23">
        <v>5.22</v>
      </c>
      <c r="K11" s="23">
        <v>5.9</v>
      </c>
      <c r="L11" s="98"/>
      <c r="N11" s="22">
        <f t="shared" si="1"/>
        <v>0.5625</v>
      </c>
      <c r="O11" s="21">
        <v>9</v>
      </c>
      <c r="P11" s="23">
        <v>3.09</v>
      </c>
      <c r="Q11" s="23">
        <v>3.17</v>
      </c>
      <c r="R11" s="23">
        <v>3.31</v>
      </c>
      <c r="S11" s="23">
        <v>3.84</v>
      </c>
      <c r="T11" s="23">
        <v>4.19</v>
      </c>
      <c r="U11" s="23">
        <v>4.48</v>
      </c>
      <c r="V11" s="23">
        <v>4.61</v>
      </c>
      <c r="W11" s="23">
        <v>5.21</v>
      </c>
      <c r="X11" s="98"/>
      <c r="Z11" s="15" t="s">
        <v>106</v>
      </c>
      <c r="AA11" s="16"/>
      <c r="AB11" s="16"/>
      <c r="AC11" s="16"/>
      <c r="AD11" s="113"/>
      <c r="AE11" s="114" t="s">
        <v>107</v>
      </c>
      <c r="AF11" s="114"/>
      <c r="AG11" s="114"/>
      <c r="AH11" s="114"/>
      <c r="AI11" s="112">
        <v>1</v>
      </c>
    </row>
    <row r="12" ht="16.35" spans="1:35">
      <c r="B12" s="22">
        <f t="shared" si="0"/>
        <v>0.625</v>
      </c>
      <c r="C12" s="21">
        <v>10</v>
      </c>
      <c r="D12" s="23">
        <v>3.5</v>
      </c>
      <c r="E12" s="23">
        <v>3.59</v>
      </c>
      <c r="F12" s="23">
        <v>3.75</v>
      </c>
      <c r="G12" s="23">
        <v>4.35</v>
      </c>
      <c r="H12" s="23">
        <v>4.87</v>
      </c>
      <c r="I12" s="23">
        <v>5.07</v>
      </c>
      <c r="J12" s="23">
        <v>5.35</v>
      </c>
      <c r="K12" s="23">
        <v>5.9</v>
      </c>
      <c r="L12" s="98"/>
      <c r="N12" s="22">
        <f t="shared" si="1"/>
        <v>0.625</v>
      </c>
      <c r="O12" s="21">
        <v>10</v>
      </c>
      <c r="P12" s="23">
        <v>3.09</v>
      </c>
      <c r="Q12" s="23">
        <v>3.17</v>
      </c>
      <c r="R12" s="23">
        <v>3.31</v>
      </c>
      <c r="S12" s="23">
        <v>3.84</v>
      </c>
      <c r="T12" s="23">
        <v>4.3</v>
      </c>
      <c r="U12" s="23">
        <v>4.48</v>
      </c>
      <c r="V12" s="23">
        <v>4.72</v>
      </c>
      <c r="W12" s="23">
        <v>5.21</v>
      </c>
      <c r="X12" s="98"/>
      <c r="Z12" s="115" t="s">
        <v>108</v>
      </c>
      <c r="AA12" s="116"/>
      <c r="AB12" s="116"/>
      <c r="AC12" s="116"/>
      <c r="AD12" s="117"/>
      <c r="AE12" s="118" t="s">
        <v>109</v>
      </c>
      <c r="AF12" s="118"/>
      <c r="AG12" s="118"/>
      <c r="AH12" s="118"/>
      <c r="AI12" s="119">
        <v>5</v>
      </c>
    </row>
    <row r="13" ht="15.6" spans="1:35">
      <c r="B13" s="22">
        <f t="shared" si="0"/>
        <v>0.6875</v>
      </c>
      <c r="C13" s="21">
        <v>11</v>
      </c>
      <c r="D13" s="23">
        <v>3.5</v>
      </c>
      <c r="E13" s="23">
        <v>3.59</v>
      </c>
      <c r="F13" s="23">
        <v>3.75</v>
      </c>
      <c r="G13" s="23">
        <v>4.35</v>
      </c>
      <c r="H13" s="23">
        <v>4.95</v>
      </c>
      <c r="I13" s="23">
        <v>5.21</v>
      </c>
      <c r="J13" s="23">
        <v>5.41</v>
      </c>
      <c r="K13" s="23">
        <v>5.9</v>
      </c>
      <c r="L13" s="98"/>
      <c r="N13" s="22">
        <f t="shared" si="1"/>
        <v>0.6875</v>
      </c>
      <c r="O13" s="21">
        <v>11</v>
      </c>
      <c r="P13" s="23">
        <v>3.09</v>
      </c>
      <c r="Q13" s="23">
        <v>3.17</v>
      </c>
      <c r="R13" s="23">
        <v>3.31</v>
      </c>
      <c r="S13" s="23">
        <v>3.84</v>
      </c>
      <c r="T13" s="23">
        <v>4.37</v>
      </c>
      <c r="U13" s="23">
        <v>4.59</v>
      </c>
      <c r="V13" s="23">
        <v>4.77</v>
      </c>
      <c r="W13" s="23">
        <v>5.21</v>
      </c>
      <c r="X13" s="98"/>
      <c r="Z13" s="120"/>
      <c r="AA13" s="121"/>
      <c r="AB13" s="121"/>
      <c r="AC13" s="121"/>
      <c r="AD13" s="122"/>
      <c r="AE13" s="123" t="s">
        <v>110</v>
      </c>
      <c r="AF13" s="123"/>
      <c r="AG13" s="123"/>
      <c r="AH13" s="123"/>
      <c r="AI13" s="112">
        <v>0</v>
      </c>
    </row>
    <row r="14" ht="15.6" spans="1:35">
      <c r="B14" s="22">
        <f t="shared" si="0"/>
        <v>0.75</v>
      </c>
      <c r="C14" s="21">
        <v>12</v>
      </c>
      <c r="D14" s="23">
        <v>3.5</v>
      </c>
      <c r="E14" s="23">
        <v>3.59</v>
      </c>
      <c r="F14" s="23">
        <v>3.75</v>
      </c>
      <c r="G14" s="23">
        <v>4.41</v>
      </c>
      <c r="H14" s="23">
        <v>5.01</v>
      </c>
      <c r="I14" s="23">
        <v>5.25</v>
      </c>
      <c r="J14" s="23">
        <v>5.55</v>
      </c>
      <c r="K14" s="23">
        <v>5.9</v>
      </c>
      <c r="L14" s="98"/>
      <c r="N14" s="22">
        <f t="shared" si="1"/>
        <v>0.75</v>
      </c>
      <c r="O14" s="21">
        <v>12</v>
      </c>
      <c r="P14" s="23">
        <v>3.09</v>
      </c>
      <c r="Q14" s="23">
        <v>3.17</v>
      </c>
      <c r="R14" s="23">
        <v>3.31</v>
      </c>
      <c r="S14" s="23">
        <v>3.89</v>
      </c>
      <c r="T14" s="23">
        <v>4.42</v>
      </c>
      <c r="U14" s="23">
        <v>4.63</v>
      </c>
      <c r="V14" s="23">
        <v>4.9</v>
      </c>
      <c r="W14" s="23">
        <v>5.21</v>
      </c>
      <c r="X14" s="98"/>
      <c r="Z14" s="124" t="s">
        <v>111</v>
      </c>
      <c r="AA14" s="123"/>
      <c r="AB14" s="123"/>
      <c r="AC14" s="123"/>
      <c r="AD14" s="123"/>
      <c r="AE14" s="123"/>
      <c r="AF14" s="123"/>
      <c r="AG14" s="123"/>
      <c r="AH14" s="123"/>
      <c r="AI14" s="125"/>
    </row>
    <row r="15" ht="15.6" spans="1:35">
      <c r="B15" s="22">
        <f t="shared" si="0"/>
        <v>0.8125</v>
      </c>
      <c r="C15" s="21">
        <v>13</v>
      </c>
      <c r="D15" s="23">
        <v>3.51</v>
      </c>
      <c r="E15" s="23">
        <v>3.66</v>
      </c>
      <c r="F15" s="23">
        <v>3.78</v>
      </c>
      <c r="G15" s="23">
        <v>4.51</v>
      </c>
      <c r="H15" s="23">
        <v>5.06</v>
      </c>
      <c r="I15" s="23">
        <v>5.35</v>
      </c>
      <c r="J15" s="23">
        <v>5.65</v>
      </c>
      <c r="K15" s="23">
        <v>6.21</v>
      </c>
      <c r="L15" s="98"/>
      <c r="N15" s="22">
        <f t="shared" si="1"/>
        <v>0.8125</v>
      </c>
      <c r="O15" s="21">
        <v>13</v>
      </c>
      <c r="P15" s="23">
        <v>3.1</v>
      </c>
      <c r="Q15" s="23">
        <v>3.23</v>
      </c>
      <c r="R15" s="23">
        <v>3.34</v>
      </c>
      <c r="S15" s="23">
        <v>3.98</v>
      </c>
      <c r="T15" s="23">
        <v>4.46</v>
      </c>
      <c r="U15" s="23">
        <v>4.72</v>
      </c>
      <c r="V15" s="23">
        <v>4.98</v>
      </c>
      <c r="W15" s="23">
        <v>5.48</v>
      </c>
      <c r="X15" s="98"/>
      <c r="Z15" s="126" t="s">
        <v>112</v>
      </c>
      <c r="AA15" s="127"/>
      <c r="AB15" s="127"/>
      <c r="AC15" s="127"/>
      <c r="AD15" s="127"/>
      <c r="AE15" s="127"/>
      <c r="AF15" s="127"/>
      <c r="AG15" s="127"/>
      <c r="AH15" s="127"/>
      <c r="AI15" s="128"/>
    </row>
    <row r="16" ht="15.6" spans="1:35">
      <c r="B16" s="22">
        <f t="shared" si="0"/>
        <v>0.875</v>
      </c>
      <c r="C16" s="21">
        <v>14</v>
      </c>
      <c r="D16" s="23">
        <v>3.51</v>
      </c>
      <c r="E16" s="23">
        <v>3.66</v>
      </c>
      <c r="F16" s="23">
        <v>3.78</v>
      </c>
      <c r="G16" s="23">
        <v>4.58</v>
      </c>
      <c r="H16" s="23">
        <v>5.11</v>
      </c>
      <c r="I16" s="23">
        <v>5.39</v>
      </c>
      <c r="J16" s="23">
        <v>5.7</v>
      </c>
      <c r="K16" s="23">
        <v>6.21</v>
      </c>
      <c r="L16" s="98"/>
      <c r="N16" s="22">
        <f t="shared" si="1"/>
        <v>0.875</v>
      </c>
      <c r="O16" s="21">
        <v>14</v>
      </c>
      <c r="P16" s="23">
        <v>3.1</v>
      </c>
      <c r="Q16" s="23">
        <v>3.23</v>
      </c>
      <c r="R16" s="23">
        <v>3.34</v>
      </c>
      <c r="S16" s="23">
        <v>4.04</v>
      </c>
      <c r="T16" s="23">
        <v>4.51</v>
      </c>
      <c r="U16" s="23">
        <v>4.76</v>
      </c>
      <c r="V16" s="23">
        <v>5.03</v>
      </c>
      <c r="W16" s="23">
        <v>5.48</v>
      </c>
      <c r="X16" s="98"/>
      <c r="Z16" s="129" t="s">
        <v>113</v>
      </c>
      <c r="AA16" s="130"/>
      <c r="AB16" s="130"/>
      <c r="AC16" s="130"/>
      <c r="AD16" s="130"/>
      <c r="AE16" s="130"/>
      <c r="AF16" s="130"/>
      <c r="AG16" s="130"/>
      <c r="AH16" s="130"/>
      <c r="AI16" s="125"/>
    </row>
    <row r="17" ht="15.6" spans="2:24">
      <c r="B17" s="22">
        <f t="shared" si="0"/>
        <v>0.9375</v>
      </c>
      <c r="C17" s="21">
        <v>15</v>
      </c>
      <c r="D17" s="23">
        <v>3.52</v>
      </c>
      <c r="E17" s="23">
        <v>3.66</v>
      </c>
      <c r="F17" s="23">
        <v>3.78</v>
      </c>
      <c r="G17" s="23">
        <v>4.61</v>
      </c>
      <c r="H17" s="23">
        <v>5.15</v>
      </c>
      <c r="I17" s="23">
        <v>5.83</v>
      </c>
      <c r="J17" s="23">
        <v>5.87</v>
      </c>
      <c r="K17" s="23">
        <v>6.21</v>
      </c>
      <c r="L17" s="98"/>
      <c r="N17" s="22">
        <f t="shared" si="1"/>
        <v>0.9375</v>
      </c>
      <c r="O17" s="21">
        <v>15</v>
      </c>
      <c r="P17" s="23">
        <v>3.11</v>
      </c>
      <c r="Q17" s="23">
        <v>3.23</v>
      </c>
      <c r="R17" s="23">
        <v>3.34</v>
      </c>
      <c r="S17" s="23">
        <v>4.06</v>
      </c>
      <c r="T17" s="23">
        <v>4.55</v>
      </c>
      <c r="U17" s="23">
        <v>5.15</v>
      </c>
      <c r="V17" s="23">
        <v>5.18</v>
      </c>
      <c r="W17" s="23">
        <v>5.48</v>
      </c>
      <c r="X17" s="98"/>
    </row>
    <row r="18" ht="15.6" spans="2:24">
      <c r="B18" s="21">
        <v>1</v>
      </c>
      <c r="C18" s="22">
        <f t="shared" ref="C18:C37" si="2">B18*16</f>
        <v>16</v>
      </c>
      <c r="D18" s="23">
        <v>3.68</v>
      </c>
      <c r="E18" s="23">
        <v>3.82</v>
      </c>
      <c r="F18" s="23">
        <v>4.01</v>
      </c>
      <c r="G18" s="23">
        <v>4.61</v>
      </c>
      <c r="H18" s="23">
        <v>5.5</v>
      </c>
      <c r="I18" s="23">
        <v>5.83</v>
      </c>
      <c r="J18" s="23">
        <v>6.81</v>
      </c>
      <c r="K18" s="23">
        <v>7.21</v>
      </c>
      <c r="L18" s="98"/>
      <c r="N18" s="21">
        <v>1</v>
      </c>
      <c r="O18" s="22">
        <f t="shared" ref="O18:O37" si="3">N18*16</f>
        <v>16</v>
      </c>
      <c r="P18" s="23">
        <v>3.25</v>
      </c>
      <c r="Q18" s="23">
        <v>3.37</v>
      </c>
      <c r="R18" s="23">
        <v>3.54</v>
      </c>
      <c r="S18" s="23">
        <v>4.06</v>
      </c>
      <c r="T18" s="23">
        <v>4.85</v>
      </c>
      <c r="U18" s="23">
        <v>5.15</v>
      </c>
      <c r="V18" s="23">
        <v>6.01</v>
      </c>
      <c r="W18" s="23">
        <v>6.36</v>
      </c>
      <c r="X18" s="98"/>
    </row>
    <row r="19" ht="15.6" spans="2:24">
      <c r="B19" s="21">
        <v>2</v>
      </c>
      <c r="C19" s="22">
        <f t="shared" si="2"/>
        <v>32</v>
      </c>
      <c r="D19" s="23">
        <v>3.82</v>
      </c>
      <c r="E19" s="23">
        <v>3.96</v>
      </c>
      <c r="F19" s="23">
        <v>4.13</v>
      </c>
      <c r="G19" s="23">
        <v>4.73</v>
      </c>
      <c r="H19" s="23">
        <v>5.75</v>
      </c>
      <c r="I19" s="23">
        <v>5.98</v>
      </c>
      <c r="J19" s="23">
        <v>6.98</v>
      </c>
      <c r="K19" s="23">
        <v>7.25</v>
      </c>
      <c r="L19" s="98"/>
      <c r="N19" s="21">
        <v>2</v>
      </c>
      <c r="O19" s="22">
        <f t="shared" si="3"/>
        <v>32</v>
      </c>
      <c r="P19" s="23">
        <v>3.37</v>
      </c>
      <c r="Q19" s="23">
        <v>3.5</v>
      </c>
      <c r="R19" s="23">
        <v>3.64</v>
      </c>
      <c r="S19" s="23">
        <v>4.17</v>
      </c>
      <c r="T19" s="23">
        <v>5.08</v>
      </c>
      <c r="U19" s="23">
        <v>5.28</v>
      </c>
      <c r="V19" s="23">
        <v>6.16</v>
      </c>
      <c r="W19" s="23">
        <v>6.4</v>
      </c>
      <c r="X19" s="98"/>
    </row>
    <row r="20" ht="15.6" spans="2:24">
      <c r="B20" s="21">
        <v>3</v>
      </c>
      <c r="C20" s="22">
        <f t="shared" si="2"/>
        <v>48</v>
      </c>
      <c r="D20" s="23">
        <v>3.99</v>
      </c>
      <c r="E20" s="23">
        <v>4.07</v>
      </c>
      <c r="F20" s="23">
        <v>4.38</v>
      </c>
      <c r="G20" s="23">
        <v>4.82</v>
      </c>
      <c r="H20" s="23">
        <v>5.83</v>
      </c>
      <c r="I20" s="23">
        <v>6.14</v>
      </c>
      <c r="J20" s="23">
        <v>7.3</v>
      </c>
      <c r="K20" s="23">
        <v>7.82</v>
      </c>
      <c r="L20" s="98"/>
      <c r="N20" s="21">
        <v>3</v>
      </c>
      <c r="O20" s="22">
        <f t="shared" si="3"/>
        <v>48</v>
      </c>
      <c r="P20" s="23">
        <v>3.52</v>
      </c>
      <c r="Q20" s="23">
        <v>3.59</v>
      </c>
      <c r="R20" s="23">
        <v>3.87</v>
      </c>
      <c r="S20" s="23">
        <v>4.25</v>
      </c>
      <c r="T20" s="23">
        <v>5.15</v>
      </c>
      <c r="U20" s="23">
        <v>5.42</v>
      </c>
      <c r="V20" s="23">
        <v>6.44</v>
      </c>
      <c r="W20" s="23">
        <v>6.9</v>
      </c>
      <c r="X20" s="98"/>
    </row>
    <row r="21" ht="15.6" spans="2:24">
      <c r="B21" s="21">
        <v>4</v>
      </c>
      <c r="C21" s="22">
        <f t="shared" si="2"/>
        <v>64</v>
      </c>
      <c r="D21" s="23">
        <v>4.15</v>
      </c>
      <c r="E21" s="23">
        <v>4.31</v>
      </c>
      <c r="F21" s="23">
        <v>4.67</v>
      </c>
      <c r="G21" s="23">
        <v>4.98</v>
      </c>
      <c r="H21" s="23">
        <v>5.95</v>
      </c>
      <c r="I21" s="23">
        <v>6.35</v>
      </c>
      <c r="J21" s="23">
        <v>7.5</v>
      </c>
      <c r="K21" s="23">
        <v>8.8</v>
      </c>
      <c r="L21" s="98"/>
      <c r="N21" s="21">
        <v>4</v>
      </c>
      <c r="O21" s="22">
        <f t="shared" si="3"/>
        <v>64</v>
      </c>
      <c r="P21" s="23">
        <v>3.66</v>
      </c>
      <c r="Q21" s="23">
        <v>3.8</v>
      </c>
      <c r="R21" s="23">
        <v>4.12</v>
      </c>
      <c r="S21" s="23">
        <v>4.39</v>
      </c>
      <c r="T21" s="23">
        <v>5.25</v>
      </c>
      <c r="U21" s="23">
        <v>5.61</v>
      </c>
      <c r="V21" s="23">
        <v>6.62</v>
      </c>
      <c r="W21" s="23">
        <v>7.76</v>
      </c>
      <c r="X21" s="98"/>
    </row>
    <row r="22" ht="15.6" spans="2:24">
      <c r="B22" s="21">
        <v>5</v>
      </c>
      <c r="C22" s="22">
        <f t="shared" si="2"/>
        <v>80</v>
      </c>
      <c r="D22" s="23">
        <v>4.22</v>
      </c>
      <c r="E22" s="23">
        <v>4.43</v>
      </c>
      <c r="F22" s="23">
        <v>4.71</v>
      </c>
      <c r="G22" s="23">
        <v>5.01</v>
      </c>
      <c r="H22" s="23">
        <v>5.98</v>
      </c>
      <c r="I22" s="23">
        <v>6.46</v>
      </c>
      <c r="J22" s="23">
        <v>7.8</v>
      </c>
      <c r="K22" s="23">
        <v>9.12</v>
      </c>
      <c r="L22" s="98"/>
      <c r="N22" s="21">
        <v>5</v>
      </c>
      <c r="O22" s="22">
        <f t="shared" si="3"/>
        <v>80</v>
      </c>
      <c r="P22" s="23">
        <v>3.72</v>
      </c>
      <c r="Q22" s="23">
        <v>3.91</v>
      </c>
      <c r="R22" s="23">
        <v>4.16</v>
      </c>
      <c r="S22" s="23">
        <v>4.42</v>
      </c>
      <c r="T22" s="23">
        <v>5.28</v>
      </c>
      <c r="U22" s="23">
        <v>5.7</v>
      </c>
      <c r="V22" s="23">
        <v>6.88</v>
      </c>
      <c r="W22" s="23">
        <v>8.05</v>
      </c>
      <c r="X22" s="98"/>
    </row>
    <row r="23" ht="15.6" spans="2:24">
      <c r="B23" s="21">
        <v>6</v>
      </c>
      <c r="C23" s="22">
        <f t="shared" si="2"/>
        <v>96</v>
      </c>
      <c r="D23" s="23">
        <v>4.41</v>
      </c>
      <c r="E23" s="23">
        <v>4.66</v>
      </c>
      <c r="F23" s="23">
        <v>4.9</v>
      </c>
      <c r="G23" s="23">
        <v>5.03</v>
      </c>
      <c r="H23" s="23">
        <v>6.01</v>
      </c>
      <c r="I23" s="23">
        <v>6.55</v>
      </c>
      <c r="J23" s="23">
        <v>8.77</v>
      </c>
      <c r="K23" s="23">
        <v>9.81</v>
      </c>
      <c r="L23" s="98"/>
      <c r="N23" s="21">
        <v>6</v>
      </c>
      <c r="O23" s="22">
        <f t="shared" si="3"/>
        <v>96</v>
      </c>
      <c r="P23" s="23">
        <v>3.89</v>
      </c>
      <c r="Q23" s="23">
        <v>4.11</v>
      </c>
      <c r="R23" s="23">
        <v>4.33</v>
      </c>
      <c r="S23" s="23">
        <v>4.44</v>
      </c>
      <c r="T23" s="23">
        <v>5.3</v>
      </c>
      <c r="U23" s="23">
        <v>5.78</v>
      </c>
      <c r="V23" s="23">
        <v>7.74</v>
      </c>
      <c r="W23" s="23">
        <v>8.66</v>
      </c>
      <c r="X23" s="98"/>
    </row>
    <row r="24" ht="15.6" spans="2:24">
      <c r="B24" s="21">
        <v>7</v>
      </c>
      <c r="C24" s="22">
        <f t="shared" si="2"/>
        <v>112</v>
      </c>
      <c r="D24" s="23">
        <v>4.46</v>
      </c>
      <c r="E24" s="23">
        <v>4.71</v>
      </c>
      <c r="F24" s="23">
        <v>4.93</v>
      </c>
      <c r="G24" s="23">
        <v>5.19</v>
      </c>
      <c r="H24" s="23">
        <v>6.13</v>
      </c>
      <c r="I24" s="23">
        <v>6.58</v>
      </c>
      <c r="J24" s="23">
        <v>9.72</v>
      </c>
      <c r="K24" s="23">
        <v>10.83</v>
      </c>
      <c r="L24" s="98"/>
      <c r="N24" s="21">
        <v>7</v>
      </c>
      <c r="O24" s="22">
        <f t="shared" si="3"/>
        <v>112</v>
      </c>
      <c r="P24" s="23">
        <v>3.93</v>
      </c>
      <c r="Q24" s="23">
        <v>4.16</v>
      </c>
      <c r="R24" s="23">
        <v>4.35</v>
      </c>
      <c r="S24" s="23">
        <v>4.58</v>
      </c>
      <c r="T24" s="23">
        <v>5.41</v>
      </c>
      <c r="U24" s="23">
        <v>5.81</v>
      </c>
      <c r="V24" s="23">
        <v>8.58</v>
      </c>
      <c r="W24" s="23">
        <v>9.55</v>
      </c>
      <c r="X24" s="98"/>
    </row>
    <row r="25" ht="15.6" spans="2:24">
      <c r="B25" s="21">
        <v>8</v>
      </c>
      <c r="C25" s="22">
        <f t="shared" si="2"/>
        <v>128</v>
      </c>
      <c r="D25" s="23">
        <v>4.66</v>
      </c>
      <c r="E25" s="23">
        <v>4.75</v>
      </c>
      <c r="F25" s="23">
        <v>5.01</v>
      </c>
      <c r="G25" s="23">
        <v>5.35</v>
      </c>
      <c r="H25" s="23">
        <v>6.55</v>
      </c>
      <c r="I25" s="23">
        <v>6.73</v>
      </c>
      <c r="J25" s="23">
        <v>9.96</v>
      </c>
      <c r="K25" s="23">
        <v>11.33</v>
      </c>
      <c r="L25" s="98"/>
      <c r="N25" s="21">
        <v>8</v>
      </c>
      <c r="O25" s="22">
        <f t="shared" si="3"/>
        <v>128</v>
      </c>
      <c r="P25" s="23">
        <v>4.11</v>
      </c>
      <c r="Q25" s="23">
        <v>4.19</v>
      </c>
      <c r="R25" s="23">
        <v>4.42</v>
      </c>
      <c r="S25" s="23">
        <v>4.72</v>
      </c>
      <c r="T25" s="23">
        <v>5.78</v>
      </c>
      <c r="U25" s="23">
        <v>5.94</v>
      </c>
      <c r="V25" s="23">
        <v>8.79</v>
      </c>
      <c r="W25" s="23">
        <v>10</v>
      </c>
      <c r="X25" s="98"/>
    </row>
    <row r="26" ht="15.6" spans="2:24">
      <c r="B26" s="21">
        <v>9</v>
      </c>
      <c r="C26" s="22">
        <f t="shared" si="2"/>
        <v>144</v>
      </c>
      <c r="D26" s="23">
        <v>4.86</v>
      </c>
      <c r="E26" s="23">
        <v>4.9</v>
      </c>
      <c r="F26" s="23">
        <v>5.11</v>
      </c>
      <c r="G26" s="23">
        <v>5.62</v>
      </c>
      <c r="H26" s="23">
        <v>6.65</v>
      </c>
      <c r="I26" s="23">
        <v>6.86</v>
      </c>
      <c r="J26" s="23">
        <v>10.39</v>
      </c>
      <c r="K26" s="23">
        <v>11.79</v>
      </c>
      <c r="L26" s="98"/>
      <c r="N26" s="21">
        <v>9</v>
      </c>
      <c r="O26" s="22">
        <f t="shared" si="3"/>
        <v>144</v>
      </c>
      <c r="P26" s="23">
        <v>4.29</v>
      </c>
      <c r="Q26" s="23">
        <v>4.32</v>
      </c>
      <c r="R26" s="23">
        <v>4.51</v>
      </c>
      <c r="S26" s="23">
        <v>4.96</v>
      </c>
      <c r="T26" s="23">
        <v>5.87</v>
      </c>
      <c r="U26" s="23">
        <v>6.05</v>
      </c>
      <c r="V26" s="23">
        <v>9.16</v>
      </c>
      <c r="W26" s="23">
        <v>10.4</v>
      </c>
      <c r="X26" s="98"/>
    </row>
    <row r="27" ht="15.6" spans="2:24">
      <c r="B27" s="21">
        <v>10</v>
      </c>
      <c r="C27" s="22">
        <f t="shared" si="2"/>
        <v>160</v>
      </c>
      <c r="D27" s="23">
        <v>4.9</v>
      </c>
      <c r="E27" s="23">
        <v>4.97</v>
      </c>
      <c r="F27" s="23">
        <v>5.26</v>
      </c>
      <c r="G27" s="23">
        <v>6.06</v>
      </c>
      <c r="H27" s="23">
        <v>6.82</v>
      </c>
      <c r="I27" s="23">
        <v>7.7</v>
      </c>
      <c r="J27" s="23">
        <v>10.81</v>
      </c>
      <c r="K27" s="23">
        <v>12.32</v>
      </c>
      <c r="L27" s="98"/>
      <c r="N27" s="21">
        <v>10</v>
      </c>
      <c r="O27" s="22">
        <f t="shared" si="3"/>
        <v>160</v>
      </c>
      <c r="P27" s="23">
        <v>4.32</v>
      </c>
      <c r="Q27" s="23">
        <v>4.38</v>
      </c>
      <c r="R27" s="23">
        <v>4.64</v>
      </c>
      <c r="S27" s="23">
        <v>5.35</v>
      </c>
      <c r="T27" s="23">
        <v>6.02</v>
      </c>
      <c r="U27" s="23">
        <v>6.8</v>
      </c>
      <c r="V27" s="23">
        <v>9.54</v>
      </c>
      <c r="W27" s="23">
        <v>10.87</v>
      </c>
      <c r="X27" s="98"/>
    </row>
    <row r="28" ht="15.6" spans="2:24">
      <c r="B28" s="21">
        <v>11</v>
      </c>
      <c r="C28" s="22">
        <f t="shared" si="2"/>
        <v>176</v>
      </c>
      <c r="D28" s="23">
        <v>6.25</v>
      </c>
      <c r="E28" s="23">
        <v>7.25</v>
      </c>
      <c r="F28" s="23">
        <v>7.61</v>
      </c>
      <c r="G28" s="23">
        <v>8.33</v>
      </c>
      <c r="H28" s="23">
        <v>9.26</v>
      </c>
      <c r="I28" s="23">
        <v>9.89</v>
      </c>
      <c r="J28" s="23">
        <v>11.99</v>
      </c>
      <c r="K28" s="23">
        <v>12.8</v>
      </c>
      <c r="L28" s="98"/>
      <c r="N28" s="21">
        <v>11</v>
      </c>
      <c r="O28" s="22">
        <f t="shared" si="3"/>
        <v>176</v>
      </c>
      <c r="P28" s="23">
        <v>5.51</v>
      </c>
      <c r="Q28" s="23">
        <v>6.4</v>
      </c>
      <c r="R28" s="23">
        <v>6.72</v>
      </c>
      <c r="S28" s="23">
        <v>7.35</v>
      </c>
      <c r="T28" s="23">
        <v>8.18</v>
      </c>
      <c r="U28" s="23">
        <v>8.73</v>
      </c>
      <c r="V28" s="23">
        <v>10.58</v>
      </c>
      <c r="W28" s="23">
        <v>11.3</v>
      </c>
      <c r="X28" s="98"/>
    </row>
    <row r="29" ht="15.6" spans="2:24">
      <c r="B29" s="21">
        <v>12</v>
      </c>
      <c r="C29" s="22">
        <f t="shared" si="2"/>
        <v>192</v>
      </c>
      <c r="D29" s="23">
        <v>6.25</v>
      </c>
      <c r="E29" s="23">
        <v>7.36</v>
      </c>
      <c r="F29" s="23">
        <v>7.92</v>
      </c>
      <c r="G29" s="23">
        <v>8.42</v>
      </c>
      <c r="H29" s="23">
        <v>9.48</v>
      </c>
      <c r="I29" s="23">
        <v>10.08</v>
      </c>
      <c r="J29" s="23">
        <v>12.58</v>
      </c>
      <c r="K29" s="23">
        <v>13.43</v>
      </c>
      <c r="L29" s="98"/>
      <c r="N29" s="21">
        <v>12</v>
      </c>
      <c r="O29" s="22">
        <f t="shared" si="3"/>
        <v>192</v>
      </c>
      <c r="P29" s="23">
        <v>5.51</v>
      </c>
      <c r="Q29" s="23">
        <v>6.49</v>
      </c>
      <c r="R29" s="23">
        <v>6.99</v>
      </c>
      <c r="S29" s="23">
        <v>7.43</v>
      </c>
      <c r="T29" s="23">
        <v>8.36</v>
      </c>
      <c r="U29" s="23">
        <v>8.89</v>
      </c>
      <c r="V29" s="23">
        <v>11.1</v>
      </c>
      <c r="W29" s="23">
        <v>11.85</v>
      </c>
      <c r="X29" s="98"/>
    </row>
    <row r="30" ht="15.6" spans="2:24">
      <c r="B30" s="21">
        <v>13</v>
      </c>
      <c r="C30" s="22">
        <f t="shared" si="2"/>
        <v>208</v>
      </c>
      <c r="D30" s="23">
        <v>6.25</v>
      </c>
      <c r="E30" s="23">
        <v>7.48</v>
      </c>
      <c r="F30" s="23">
        <v>8.06</v>
      </c>
      <c r="G30" s="23">
        <v>8.6</v>
      </c>
      <c r="H30" s="23">
        <v>9.73</v>
      </c>
      <c r="I30" s="23">
        <v>10.35</v>
      </c>
      <c r="J30" s="23">
        <v>13.3</v>
      </c>
      <c r="K30" s="23">
        <v>13.96</v>
      </c>
      <c r="L30" s="98"/>
      <c r="N30" s="21">
        <v>13</v>
      </c>
      <c r="O30" s="22">
        <f t="shared" si="3"/>
        <v>208</v>
      </c>
      <c r="P30" s="23">
        <v>5.51</v>
      </c>
      <c r="Q30" s="23">
        <v>6.6</v>
      </c>
      <c r="R30" s="23">
        <v>7.11</v>
      </c>
      <c r="S30" s="23">
        <v>7.59</v>
      </c>
      <c r="T30" s="23">
        <v>8.59</v>
      </c>
      <c r="U30" s="23">
        <v>9.13</v>
      </c>
      <c r="V30" s="23">
        <v>11.73</v>
      </c>
      <c r="W30" s="23">
        <v>12.32</v>
      </c>
      <c r="X30" s="98"/>
    </row>
    <row r="31" ht="15.6" spans="2:24">
      <c r="B31" s="21">
        <v>14</v>
      </c>
      <c r="C31" s="22">
        <f t="shared" si="2"/>
        <v>224</v>
      </c>
      <c r="D31" s="23">
        <v>6.25</v>
      </c>
      <c r="E31" s="23">
        <v>7.65</v>
      </c>
      <c r="F31" s="23">
        <v>8.16</v>
      </c>
      <c r="G31" s="23">
        <v>8.6</v>
      </c>
      <c r="H31" s="23">
        <v>9.97</v>
      </c>
      <c r="I31" s="23">
        <v>10.49</v>
      </c>
      <c r="J31" s="23">
        <v>14.26</v>
      </c>
      <c r="K31" s="23">
        <v>14.79</v>
      </c>
      <c r="L31" s="98"/>
      <c r="N31" s="21">
        <v>14</v>
      </c>
      <c r="O31" s="22">
        <f t="shared" si="3"/>
        <v>224</v>
      </c>
      <c r="P31" s="23">
        <v>5.51</v>
      </c>
      <c r="Q31" s="23">
        <v>6.75</v>
      </c>
      <c r="R31" s="23">
        <v>7.2</v>
      </c>
      <c r="S31" s="23">
        <v>7.59</v>
      </c>
      <c r="T31" s="23">
        <v>8.8</v>
      </c>
      <c r="U31" s="23">
        <v>9.26</v>
      </c>
      <c r="V31" s="23">
        <v>12.58</v>
      </c>
      <c r="W31" s="23">
        <v>13.05</v>
      </c>
      <c r="X31" s="98"/>
    </row>
    <row r="32" ht="15.6" spans="2:24">
      <c r="B32" s="21">
        <v>15</v>
      </c>
      <c r="C32" s="22">
        <f t="shared" si="2"/>
        <v>240</v>
      </c>
      <c r="D32" s="23">
        <v>6.25</v>
      </c>
      <c r="E32" s="23">
        <v>7.72</v>
      </c>
      <c r="F32" s="23">
        <v>8.45</v>
      </c>
      <c r="G32" s="23">
        <v>8.82</v>
      </c>
      <c r="H32" s="23">
        <v>10.41</v>
      </c>
      <c r="I32" s="23">
        <v>10.97</v>
      </c>
      <c r="J32" s="23">
        <v>14.62</v>
      </c>
      <c r="K32" s="23">
        <v>15.11</v>
      </c>
      <c r="L32" s="98"/>
      <c r="N32" s="21">
        <v>15</v>
      </c>
      <c r="O32" s="22">
        <f t="shared" si="3"/>
        <v>240</v>
      </c>
      <c r="P32" s="23">
        <v>5.51</v>
      </c>
      <c r="Q32" s="23">
        <v>6.81</v>
      </c>
      <c r="R32" s="23">
        <v>7.45</v>
      </c>
      <c r="S32" s="23">
        <v>7.79</v>
      </c>
      <c r="T32" s="23">
        <v>9.19</v>
      </c>
      <c r="U32" s="23">
        <v>9.68</v>
      </c>
      <c r="V32" s="23">
        <v>12.9</v>
      </c>
      <c r="W32" s="23">
        <v>13.33</v>
      </c>
      <c r="X32" s="98"/>
    </row>
    <row r="33" ht="15.6" spans="2:24">
      <c r="B33" s="21">
        <v>16</v>
      </c>
      <c r="C33" s="22">
        <f t="shared" si="2"/>
        <v>256</v>
      </c>
      <c r="D33" s="23">
        <v>6.25</v>
      </c>
      <c r="E33" s="23">
        <v>7.86</v>
      </c>
      <c r="F33" s="23">
        <v>8.6</v>
      </c>
      <c r="G33" s="23">
        <v>8.86</v>
      </c>
      <c r="H33" s="23">
        <v>10.49</v>
      </c>
      <c r="I33" s="23">
        <v>11.07</v>
      </c>
      <c r="J33" s="23">
        <v>15.53</v>
      </c>
      <c r="K33" s="23">
        <v>17.78</v>
      </c>
      <c r="L33" s="98"/>
      <c r="N33" s="21">
        <v>16</v>
      </c>
      <c r="O33" s="22">
        <f t="shared" si="3"/>
        <v>256</v>
      </c>
      <c r="P33" s="23">
        <v>5.51</v>
      </c>
      <c r="Q33" s="23">
        <v>6.94</v>
      </c>
      <c r="R33" s="23">
        <v>7.59</v>
      </c>
      <c r="S33" s="23">
        <v>7.82</v>
      </c>
      <c r="T33" s="23">
        <v>9.26</v>
      </c>
      <c r="U33" s="23">
        <v>9.77</v>
      </c>
      <c r="V33" s="23">
        <v>13.7</v>
      </c>
      <c r="W33" s="23">
        <v>15.69</v>
      </c>
      <c r="X33" s="98"/>
    </row>
    <row r="34" ht="15.6" spans="2:24">
      <c r="B34" s="21">
        <v>17</v>
      </c>
      <c r="C34" s="22">
        <f t="shared" si="2"/>
        <v>272</v>
      </c>
      <c r="D34" s="23">
        <v>6.25</v>
      </c>
      <c r="E34" s="23">
        <v>8.01</v>
      </c>
      <c r="F34" s="23">
        <v>8.87</v>
      </c>
      <c r="G34" s="23">
        <v>9.08</v>
      </c>
      <c r="H34" s="23">
        <v>10.88</v>
      </c>
      <c r="I34" s="23">
        <v>11.47</v>
      </c>
      <c r="J34" s="23">
        <v>16.18</v>
      </c>
      <c r="K34" s="23">
        <v>17.98</v>
      </c>
      <c r="L34" s="98"/>
      <c r="N34" s="21">
        <v>17</v>
      </c>
      <c r="O34" s="22">
        <f t="shared" si="3"/>
        <v>272</v>
      </c>
      <c r="P34" s="23">
        <v>5.51</v>
      </c>
      <c r="Q34" s="23">
        <v>7.07</v>
      </c>
      <c r="R34" s="23">
        <v>7.82</v>
      </c>
      <c r="S34" s="23">
        <v>8.01</v>
      </c>
      <c r="T34" s="23">
        <v>9.6</v>
      </c>
      <c r="U34" s="23">
        <v>10.12</v>
      </c>
      <c r="V34" s="23">
        <v>14.28</v>
      </c>
      <c r="W34" s="23">
        <v>15.87</v>
      </c>
      <c r="X34" s="98"/>
    </row>
    <row r="35" ht="15.6" spans="2:24">
      <c r="B35" s="21">
        <v>18</v>
      </c>
      <c r="C35" s="22">
        <f t="shared" si="2"/>
        <v>288</v>
      </c>
      <c r="D35" s="23">
        <v>6.25</v>
      </c>
      <c r="E35" s="23">
        <v>8.02</v>
      </c>
      <c r="F35" s="23">
        <v>8.9</v>
      </c>
      <c r="G35" s="23">
        <v>9.09</v>
      </c>
      <c r="H35" s="23">
        <v>11.31</v>
      </c>
      <c r="I35" s="23">
        <v>11.92</v>
      </c>
      <c r="J35" s="23">
        <v>16.81</v>
      </c>
      <c r="K35" s="23">
        <v>18.04</v>
      </c>
      <c r="L35" s="98"/>
      <c r="N35" s="21">
        <v>18</v>
      </c>
      <c r="O35" s="22">
        <f t="shared" si="3"/>
        <v>288</v>
      </c>
      <c r="P35" s="23">
        <v>5.51</v>
      </c>
      <c r="Q35" s="23">
        <v>7.08</v>
      </c>
      <c r="R35" s="23">
        <v>7.85</v>
      </c>
      <c r="S35" s="23">
        <v>8.02</v>
      </c>
      <c r="T35" s="23">
        <v>9.98</v>
      </c>
      <c r="U35" s="23">
        <v>10.52</v>
      </c>
      <c r="V35" s="23">
        <v>14.83</v>
      </c>
      <c r="W35" s="23">
        <v>15.91</v>
      </c>
      <c r="X35" s="98"/>
    </row>
    <row r="36" ht="15.6" spans="2:24">
      <c r="B36" s="21">
        <v>19</v>
      </c>
      <c r="C36" s="22">
        <f t="shared" si="2"/>
        <v>304</v>
      </c>
      <c r="D36" s="23">
        <v>6.25</v>
      </c>
      <c r="E36" s="23">
        <v>8.2</v>
      </c>
      <c r="F36" s="23">
        <v>9.3</v>
      </c>
      <c r="G36" s="23">
        <v>9.55</v>
      </c>
      <c r="H36" s="23">
        <v>11.8</v>
      </c>
      <c r="I36" s="23">
        <v>12.44</v>
      </c>
      <c r="J36" s="23">
        <v>17.1</v>
      </c>
      <c r="K36" s="23">
        <v>19.26</v>
      </c>
      <c r="L36" s="98"/>
      <c r="N36" s="21">
        <v>19</v>
      </c>
      <c r="O36" s="22">
        <f t="shared" si="3"/>
        <v>304</v>
      </c>
      <c r="P36" s="23">
        <v>5.51</v>
      </c>
      <c r="Q36" s="23">
        <v>7.23</v>
      </c>
      <c r="R36" s="23">
        <v>8.21</v>
      </c>
      <c r="S36" s="23">
        <v>8.42</v>
      </c>
      <c r="T36" s="23">
        <v>10.41</v>
      </c>
      <c r="U36" s="23">
        <v>10.98</v>
      </c>
      <c r="V36" s="23">
        <v>15.09</v>
      </c>
      <c r="W36" s="23">
        <v>17</v>
      </c>
      <c r="X36" s="98"/>
    </row>
    <row r="37" ht="15.6" spans="2:24">
      <c r="B37" s="21">
        <v>20</v>
      </c>
      <c r="C37" s="22">
        <f t="shared" si="2"/>
        <v>320</v>
      </c>
      <c r="D37" s="23">
        <v>6.25</v>
      </c>
      <c r="E37" s="23">
        <v>8.32</v>
      </c>
      <c r="F37" s="23">
        <v>9.46</v>
      </c>
      <c r="G37" s="23">
        <v>9.68</v>
      </c>
      <c r="H37" s="23">
        <v>12.12</v>
      </c>
      <c r="I37" s="23">
        <v>13.06</v>
      </c>
      <c r="J37" s="23">
        <v>17.74</v>
      </c>
      <c r="K37" s="23">
        <v>19.76</v>
      </c>
      <c r="L37" s="98"/>
      <c r="N37" s="21">
        <v>20</v>
      </c>
      <c r="O37" s="22">
        <f t="shared" si="3"/>
        <v>320</v>
      </c>
      <c r="P37" s="23">
        <v>5.51</v>
      </c>
      <c r="Q37" s="23">
        <v>7.34</v>
      </c>
      <c r="R37" s="23">
        <v>8.35</v>
      </c>
      <c r="S37" s="23">
        <v>8.54</v>
      </c>
      <c r="T37" s="23">
        <v>10.7</v>
      </c>
      <c r="U37" s="23">
        <v>11.52</v>
      </c>
      <c r="V37" s="23">
        <v>15.66</v>
      </c>
      <c r="W37" s="23">
        <v>17.43</v>
      </c>
      <c r="X37" s="98"/>
    </row>
  </sheetData>
  <mergeCells count="29">
    <mergeCell ref="B1:C1"/>
    <mergeCell ref="D1:K1"/>
    <mergeCell ref="N1:O1"/>
    <mergeCell ref="P1:W1"/>
    <mergeCell ref="Z1:AD1"/>
    <mergeCell ref="AE1:AH1"/>
    <mergeCell ref="Z2:AD2"/>
    <mergeCell ref="AE2:AH2"/>
    <mergeCell ref="AE3:AH3"/>
    <mergeCell ref="AE4:AH4"/>
    <mergeCell ref="AE5:AH5"/>
    <mergeCell ref="AE6:AH6"/>
    <mergeCell ref="AE7:AH7"/>
    <mergeCell ref="AE8:AH8"/>
    <mergeCell ref="AE9:AH9"/>
    <mergeCell ref="Z10:AD10"/>
    <mergeCell ref="AE10:AH10"/>
    <mergeCell ref="Z11:AD11"/>
    <mergeCell ref="AE11:AH11"/>
    <mergeCell ref="AE12:AH12"/>
    <mergeCell ref="AE13:AH13"/>
    <mergeCell ref="Z14:AI14"/>
    <mergeCell ref="Z15:AI15"/>
    <mergeCell ref="Z16:AI16"/>
    <mergeCell ref="AI3:AI5"/>
    <mergeCell ref="AI6:AI9"/>
    <mergeCell ref="Z3:AD5"/>
    <mergeCell ref="Z6:AD9"/>
    <mergeCell ref="Z12:AD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52"/>
  <sheetViews>
    <sheetView topLeftCell="AQ1" workbookViewId="0">
      <pane ySplit="2" topLeftCell="A3" activePane="bottomLeft" state="frozen"/>
      <selection/>
      <selection pane="bottomLeft" activeCell="BI32" sqref="BI32"/>
    </sheetView>
  </sheetViews>
  <sheetFormatPr defaultColWidth="8.88888888888889" defaultRowHeight="14.4"/>
  <cols>
    <col min="1" max="1" width="18.6666666666667" customWidth="1"/>
    <col min="13" max="13" width="13.4444444444444" customWidth="1"/>
    <col min="25" max="25" width="18.7777777777778" customWidth="1"/>
    <col min="37" max="37" width="13.4444444444444" customWidth="1"/>
    <col min="49" max="49" width="28.2222222222222" customWidth="1"/>
    <col min="60" max="60" width="17" customWidth="1"/>
  </cols>
  <sheetData>
    <row r="1" ht="18" spans="1:60">
      <c r="A1" s="1" t="s">
        <v>2</v>
      </c>
      <c r="B1" s="2" t="s">
        <v>85</v>
      </c>
      <c r="C1" s="3"/>
      <c r="D1" s="2" t="s">
        <v>86</v>
      </c>
      <c r="E1" s="2"/>
      <c r="F1" s="2"/>
      <c r="G1" s="2"/>
      <c r="H1" s="2"/>
      <c r="I1" s="2"/>
      <c r="J1" s="2"/>
      <c r="K1" s="2"/>
      <c r="L1" s="4"/>
      <c r="M1" s="1" t="s">
        <v>2</v>
      </c>
      <c r="N1" s="2" t="s">
        <v>85</v>
      </c>
      <c r="O1" s="3"/>
      <c r="P1" s="2" t="s">
        <v>86</v>
      </c>
      <c r="Q1" s="2"/>
      <c r="R1" s="2"/>
      <c r="S1" s="2"/>
      <c r="T1" s="2"/>
      <c r="U1" s="2"/>
      <c r="V1" s="2"/>
      <c r="W1" s="2"/>
      <c r="X1" s="4"/>
      <c r="Y1" s="1" t="s">
        <v>2</v>
      </c>
      <c r="Z1" s="2" t="s">
        <v>85</v>
      </c>
      <c r="AA1" s="3"/>
      <c r="AB1" s="2" t="s">
        <v>86</v>
      </c>
      <c r="AC1" s="2"/>
      <c r="AD1" s="2"/>
      <c r="AE1" s="2"/>
      <c r="AF1" s="2"/>
      <c r="AG1" s="2"/>
      <c r="AH1" s="2"/>
      <c r="AI1" s="2"/>
      <c r="AJ1" s="5"/>
      <c r="AK1" s="1" t="s">
        <v>2</v>
      </c>
      <c r="AL1" s="2" t="s">
        <v>85</v>
      </c>
      <c r="AM1" s="3"/>
      <c r="AN1" s="2" t="s">
        <v>86</v>
      </c>
      <c r="AO1" s="2"/>
      <c r="AP1" s="2"/>
      <c r="AQ1" s="2"/>
      <c r="AR1" s="2"/>
      <c r="AS1" s="2"/>
      <c r="AT1" s="2"/>
      <c r="AU1" s="2"/>
      <c r="AW1" s="1" t="s">
        <v>114</v>
      </c>
      <c r="AX1" s="6" t="s">
        <v>87</v>
      </c>
      <c r="AY1" s="7"/>
      <c r="AZ1" s="7"/>
      <c r="BA1" s="8" t="s">
        <v>88</v>
      </c>
      <c r="BB1" s="9"/>
      <c r="BC1" s="9"/>
      <c r="BD1" s="7"/>
      <c r="BE1" s="7"/>
      <c r="BF1" s="10" t="s">
        <v>89</v>
      </c>
      <c r="BG1" s="11"/>
      <c r="BH1" s="12" t="s">
        <v>115</v>
      </c>
    </row>
    <row r="2" ht="18" spans="1:60">
      <c r="A2" s="1" t="s">
        <v>25</v>
      </c>
      <c r="B2" s="13" t="s">
        <v>90</v>
      </c>
      <c r="C2" s="13" t="s">
        <v>91</v>
      </c>
      <c r="D2" s="13">
        <v>1</v>
      </c>
      <c r="E2" s="13">
        <v>2</v>
      </c>
      <c r="F2" s="13">
        <v>3</v>
      </c>
      <c r="G2" s="13">
        <v>4</v>
      </c>
      <c r="H2" s="13">
        <v>5</v>
      </c>
      <c r="I2" s="13">
        <v>6</v>
      </c>
      <c r="J2" s="13">
        <v>7</v>
      </c>
      <c r="K2" s="13">
        <v>8</v>
      </c>
      <c r="L2" s="4"/>
      <c r="M2" s="1" t="s">
        <v>22</v>
      </c>
      <c r="N2" s="13" t="s">
        <v>90</v>
      </c>
      <c r="O2" s="13" t="s">
        <v>91</v>
      </c>
      <c r="P2" s="13">
        <v>1</v>
      </c>
      <c r="Q2" s="13">
        <v>2</v>
      </c>
      <c r="R2" s="13">
        <v>3</v>
      </c>
      <c r="S2" s="13">
        <v>4</v>
      </c>
      <c r="T2" s="13">
        <v>5</v>
      </c>
      <c r="U2" s="13">
        <v>6</v>
      </c>
      <c r="V2" s="13">
        <v>7</v>
      </c>
      <c r="W2" s="13">
        <v>8</v>
      </c>
      <c r="X2" s="4"/>
      <c r="Y2" s="1" t="s">
        <v>19</v>
      </c>
      <c r="Z2" s="13" t="s">
        <v>90</v>
      </c>
      <c r="AA2" s="13" t="s">
        <v>91</v>
      </c>
      <c r="AB2" s="13">
        <v>1</v>
      </c>
      <c r="AC2" s="13">
        <v>2</v>
      </c>
      <c r="AD2" s="13">
        <v>3</v>
      </c>
      <c r="AE2" s="13">
        <v>4</v>
      </c>
      <c r="AF2" s="13">
        <v>5</v>
      </c>
      <c r="AG2" s="13">
        <v>6</v>
      </c>
      <c r="AH2" s="13">
        <v>7</v>
      </c>
      <c r="AI2" s="13">
        <v>8</v>
      </c>
      <c r="AJ2" s="5"/>
      <c r="AK2" s="1" t="s">
        <v>27</v>
      </c>
      <c r="AL2" s="13" t="s">
        <v>90</v>
      </c>
      <c r="AM2" s="13" t="s">
        <v>91</v>
      </c>
      <c r="AN2" s="13">
        <v>1</v>
      </c>
      <c r="AO2" s="13">
        <v>2</v>
      </c>
      <c r="AP2" s="13">
        <v>3</v>
      </c>
      <c r="AQ2" s="13">
        <v>4</v>
      </c>
      <c r="AR2" s="13">
        <v>5</v>
      </c>
      <c r="AS2" s="13">
        <v>6</v>
      </c>
      <c r="AT2" s="13">
        <v>7</v>
      </c>
      <c r="AU2" s="13">
        <v>8</v>
      </c>
      <c r="AW2" s="14"/>
      <c r="AX2" s="15" t="s">
        <v>92</v>
      </c>
      <c r="AY2" s="16"/>
      <c r="AZ2" s="16"/>
      <c r="BA2" s="17" t="s">
        <v>116</v>
      </c>
      <c r="BB2" s="18"/>
      <c r="BC2" s="18"/>
      <c r="BD2" s="18"/>
      <c r="BE2" s="18"/>
      <c r="BF2" s="19" t="s">
        <v>94</v>
      </c>
      <c r="BG2" s="20"/>
    </row>
    <row r="3" ht="15.6" spans="1:60">
      <c r="B3" s="21">
        <v>1</v>
      </c>
      <c r="C3" s="22">
        <f t="shared" ref="C3:C66" si="0">B3*16</f>
        <v>16</v>
      </c>
      <c r="D3" s="23">
        <v>12.18</v>
      </c>
      <c r="E3" s="23">
        <v>12.18</v>
      </c>
      <c r="F3" s="23">
        <v>12.18</v>
      </c>
      <c r="G3" s="23">
        <v>12.18</v>
      </c>
      <c r="H3" s="23">
        <v>12.18</v>
      </c>
      <c r="I3" s="23">
        <v>12.18</v>
      </c>
      <c r="J3" s="23">
        <v>12.18</v>
      </c>
      <c r="K3" s="23">
        <v>12.18</v>
      </c>
      <c r="L3" s="4"/>
      <c r="M3" s="4"/>
      <c r="N3" s="21">
        <v>1</v>
      </c>
      <c r="O3" s="22">
        <f t="shared" ref="O3:O66" si="1">N3*16</f>
        <v>16</v>
      </c>
      <c r="P3" s="23">
        <v>11.17</v>
      </c>
      <c r="Q3" s="23">
        <v>11.17</v>
      </c>
      <c r="R3" s="23">
        <v>11.17</v>
      </c>
      <c r="S3" s="23">
        <v>11.17</v>
      </c>
      <c r="T3" s="23">
        <v>11.17</v>
      </c>
      <c r="U3" s="23">
        <v>11.17</v>
      </c>
      <c r="V3" s="23">
        <v>11.17</v>
      </c>
      <c r="W3" s="23">
        <v>11.17</v>
      </c>
      <c r="X3" s="4"/>
      <c r="Y3" s="4"/>
      <c r="Z3" s="21">
        <v>1</v>
      </c>
      <c r="AA3" s="22">
        <f t="shared" ref="AA3:AA66" si="2">Z3*16</f>
        <v>16</v>
      </c>
      <c r="AB3" s="23">
        <v>10.15</v>
      </c>
      <c r="AC3" s="23">
        <v>10.15</v>
      </c>
      <c r="AD3" s="23">
        <v>10.15</v>
      </c>
      <c r="AE3" s="23">
        <v>10.15</v>
      </c>
      <c r="AF3" s="23">
        <v>10.15</v>
      </c>
      <c r="AG3" s="23">
        <v>10.15</v>
      </c>
      <c r="AH3" s="23">
        <v>10.15</v>
      </c>
      <c r="AI3" s="23">
        <v>10.15</v>
      </c>
      <c r="AJ3" s="5"/>
      <c r="AK3" s="5"/>
      <c r="AL3" s="21">
        <v>1</v>
      </c>
      <c r="AM3" s="22">
        <f t="shared" ref="AM3:AM66" si="3">AL3*16</f>
        <v>16</v>
      </c>
      <c r="AN3" s="23">
        <v>8.34</v>
      </c>
      <c r="AO3" s="23">
        <v>8.34</v>
      </c>
      <c r="AP3" s="23">
        <v>8.34</v>
      </c>
      <c r="AQ3" s="23">
        <v>8.34</v>
      </c>
      <c r="AR3" s="23">
        <v>8.34</v>
      </c>
      <c r="AS3" s="23">
        <v>8.34</v>
      </c>
      <c r="AT3" s="23">
        <v>8.34</v>
      </c>
      <c r="AU3" s="23">
        <v>8.34</v>
      </c>
      <c r="AW3" s="14"/>
      <c r="AX3" s="24" t="s">
        <v>117</v>
      </c>
      <c r="AY3" s="25"/>
      <c r="AZ3" s="25"/>
      <c r="BA3" s="26" t="s">
        <v>118</v>
      </c>
      <c r="BB3" s="26"/>
      <c r="BC3" s="26"/>
      <c r="BD3" s="26"/>
      <c r="BE3" s="26"/>
      <c r="BF3" s="27" t="s">
        <v>94</v>
      </c>
      <c r="BG3" s="28"/>
    </row>
    <row r="4" ht="15.6" spans="1:60">
      <c r="B4" s="21">
        <v>2</v>
      </c>
      <c r="C4" s="22">
        <f t="shared" si="0"/>
        <v>32</v>
      </c>
      <c r="D4" s="23">
        <v>12.18</v>
      </c>
      <c r="E4" s="23">
        <v>12.18</v>
      </c>
      <c r="F4" s="23">
        <v>12.18</v>
      </c>
      <c r="G4" s="23">
        <v>12.18</v>
      </c>
      <c r="H4" s="23">
        <v>12.18</v>
      </c>
      <c r="I4" s="23">
        <v>12.18</v>
      </c>
      <c r="J4" s="23">
        <v>12.18</v>
      </c>
      <c r="K4" s="23">
        <v>12.18</v>
      </c>
      <c r="L4" s="4"/>
      <c r="M4" s="4"/>
      <c r="N4" s="21">
        <v>2</v>
      </c>
      <c r="O4" s="22">
        <f t="shared" si="1"/>
        <v>32</v>
      </c>
      <c r="P4" s="23">
        <v>11.17</v>
      </c>
      <c r="Q4" s="23">
        <v>11.17</v>
      </c>
      <c r="R4" s="23">
        <v>11.17</v>
      </c>
      <c r="S4" s="23">
        <v>11.17</v>
      </c>
      <c r="T4" s="23">
        <v>11.17</v>
      </c>
      <c r="U4" s="23">
        <v>11.17</v>
      </c>
      <c r="V4" s="23">
        <v>11.17</v>
      </c>
      <c r="W4" s="23">
        <v>11.17</v>
      </c>
      <c r="X4" s="4"/>
      <c r="Y4" s="4"/>
      <c r="Z4" s="21">
        <v>2</v>
      </c>
      <c r="AA4" s="22">
        <f t="shared" si="2"/>
        <v>32</v>
      </c>
      <c r="AB4" s="23">
        <v>10.15</v>
      </c>
      <c r="AC4" s="23">
        <v>10.15</v>
      </c>
      <c r="AD4" s="23">
        <v>10.15</v>
      </c>
      <c r="AE4" s="23">
        <v>10.15</v>
      </c>
      <c r="AF4" s="23">
        <v>10.15</v>
      </c>
      <c r="AG4" s="23">
        <v>10.15</v>
      </c>
      <c r="AH4" s="23">
        <v>10.15</v>
      </c>
      <c r="AI4" s="23">
        <v>10.15</v>
      </c>
      <c r="AJ4" s="5"/>
      <c r="AK4" s="5"/>
      <c r="AL4" s="21">
        <v>2</v>
      </c>
      <c r="AM4" s="22">
        <f t="shared" si="3"/>
        <v>32</v>
      </c>
      <c r="AN4" s="23">
        <v>8.34</v>
      </c>
      <c r="AO4" s="23">
        <v>8.34</v>
      </c>
      <c r="AP4" s="23">
        <v>8.34</v>
      </c>
      <c r="AQ4" s="23">
        <v>8.34</v>
      </c>
      <c r="AR4" s="23">
        <v>8.34</v>
      </c>
      <c r="AS4" s="23">
        <v>8.34</v>
      </c>
      <c r="AT4" s="23">
        <v>8.34</v>
      </c>
      <c r="AU4" s="23">
        <v>8.34</v>
      </c>
      <c r="AW4" s="14"/>
      <c r="AX4" s="29"/>
      <c r="AY4" s="30"/>
      <c r="AZ4" s="30"/>
      <c r="BA4" s="31" t="s">
        <v>119</v>
      </c>
      <c r="BB4" s="31"/>
      <c r="BC4" s="31"/>
      <c r="BD4" s="31"/>
      <c r="BE4" s="31"/>
      <c r="BF4" s="32"/>
      <c r="BG4" s="28"/>
    </row>
    <row r="5" ht="15.6" spans="1:60">
      <c r="B5" s="21">
        <v>3</v>
      </c>
      <c r="C5" s="22">
        <f t="shared" si="0"/>
        <v>48</v>
      </c>
      <c r="D5" s="23">
        <v>12.18</v>
      </c>
      <c r="E5" s="23">
        <v>12.18</v>
      </c>
      <c r="F5" s="23">
        <v>12.18</v>
      </c>
      <c r="G5" s="23">
        <v>12.18</v>
      </c>
      <c r="H5" s="23">
        <v>12.18</v>
      </c>
      <c r="I5" s="23">
        <v>12.18</v>
      </c>
      <c r="J5" s="23">
        <v>12.18</v>
      </c>
      <c r="K5" s="23">
        <v>12.18</v>
      </c>
      <c r="L5" s="4"/>
      <c r="M5" s="4"/>
      <c r="N5" s="21">
        <v>3</v>
      </c>
      <c r="O5" s="22">
        <f t="shared" si="1"/>
        <v>48</v>
      </c>
      <c r="P5" s="23">
        <v>11.17</v>
      </c>
      <c r="Q5" s="23">
        <v>11.17</v>
      </c>
      <c r="R5" s="23">
        <v>11.17</v>
      </c>
      <c r="S5" s="23">
        <v>11.17</v>
      </c>
      <c r="T5" s="23">
        <v>11.17</v>
      </c>
      <c r="U5" s="23">
        <v>11.17</v>
      </c>
      <c r="V5" s="23">
        <v>11.17</v>
      </c>
      <c r="W5" s="23">
        <v>11.17</v>
      </c>
      <c r="X5" s="4"/>
      <c r="Y5" s="4"/>
      <c r="Z5" s="21">
        <v>3</v>
      </c>
      <c r="AA5" s="22">
        <f t="shared" si="2"/>
        <v>48</v>
      </c>
      <c r="AB5" s="23">
        <v>10.15</v>
      </c>
      <c r="AC5" s="23">
        <v>10.15</v>
      </c>
      <c r="AD5" s="23">
        <v>10.15</v>
      </c>
      <c r="AE5" s="23">
        <v>10.15</v>
      </c>
      <c r="AF5" s="23">
        <v>10.15</v>
      </c>
      <c r="AG5" s="23">
        <v>10.15</v>
      </c>
      <c r="AH5" s="23">
        <v>10.15</v>
      </c>
      <c r="AI5" s="23">
        <v>10.15</v>
      </c>
      <c r="AJ5" s="5"/>
      <c r="AK5" s="5"/>
      <c r="AL5" s="21">
        <v>3</v>
      </c>
      <c r="AM5" s="22">
        <f t="shared" si="3"/>
        <v>48</v>
      </c>
      <c r="AN5" s="23">
        <v>8.34</v>
      </c>
      <c r="AO5" s="23">
        <v>8.34</v>
      </c>
      <c r="AP5" s="23">
        <v>8.34</v>
      </c>
      <c r="AQ5" s="23">
        <v>8.34</v>
      </c>
      <c r="AR5" s="23">
        <v>8.34</v>
      </c>
      <c r="AS5" s="23">
        <v>8.34</v>
      </c>
      <c r="AT5" s="23">
        <v>8.34</v>
      </c>
      <c r="AU5" s="23">
        <v>8.34</v>
      </c>
      <c r="AW5" s="14"/>
      <c r="AX5" s="15" t="s">
        <v>120</v>
      </c>
      <c r="AY5" s="16"/>
      <c r="AZ5" s="16"/>
      <c r="BA5" s="33" t="s">
        <v>121</v>
      </c>
      <c r="BB5" s="26"/>
      <c r="BC5" s="26"/>
      <c r="BD5" s="26"/>
      <c r="BE5" s="26"/>
      <c r="BF5" s="34">
        <v>4.45</v>
      </c>
      <c r="BG5" s="35"/>
      <c r="BH5" s="36" t="s">
        <v>122</v>
      </c>
    </row>
    <row r="6" ht="15.6" spans="1:60">
      <c r="B6" s="21">
        <v>4</v>
      </c>
      <c r="C6" s="22">
        <f t="shared" si="0"/>
        <v>64</v>
      </c>
      <c r="D6" s="23">
        <v>12.18</v>
      </c>
      <c r="E6" s="23">
        <v>12.18</v>
      </c>
      <c r="F6" s="23">
        <v>12.18</v>
      </c>
      <c r="G6" s="23">
        <v>12.18</v>
      </c>
      <c r="H6" s="23">
        <v>12.18</v>
      </c>
      <c r="I6" s="23">
        <v>12.18</v>
      </c>
      <c r="J6" s="23">
        <v>12.18</v>
      </c>
      <c r="K6" s="23">
        <v>12.18</v>
      </c>
      <c r="L6" s="4"/>
      <c r="M6" s="4"/>
      <c r="N6" s="21">
        <v>4</v>
      </c>
      <c r="O6" s="22">
        <f t="shared" si="1"/>
        <v>64</v>
      </c>
      <c r="P6" s="23">
        <v>11.17</v>
      </c>
      <c r="Q6" s="23">
        <v>11.17</v>
      </c>
      <c r="R6" s="23">
        <v>11.17</v>
      </c>
      <c r="S6" s="23">
        <v>11.17</v>
      </c>
      <c r="T6" s="23">
        <v>11.17</v>
      </c>
      <c r="U6" s="23">
        <v>11.17</v>
      </c>
      <c r="V6" s="23">
        <v>11.17</v>
      </c>
      <c r="W6" s="23">
        <v>11.17</v>
      </c>
      <c r="X6" s="4"/>
      <c r="Y6" s="4"/>
      <c r="Z6" s="21">
        <v>4</v>
      </c>
      <c r="AA6" s="22">
        <f t="shared" si="2"/>
        <v>64</v>
      </c>
      <c r="AB6" s="23">
        <v>10.15</v>
      </c>
      <c r="AC6" s="23">
        <v>10.15</v>
      </c>
      <c r="AD6" s="23">
        <v>10.15</v>
      </c>
      <c r="AE6" s="23">
        <v>10.15</v>
      </c>
      <c r="AF6" s="23">
        <v>10.15</v>
      </c>
      <c r="AG6" s="23">
        <v>10.15</v>
      </c>
      <c r="AH6" s="23">
        <v>10.15</v>
      </c>
      <c r="AI6" s="23">
        <v>10.15</v>
      </c>
      <c r="AJ6" s="5"/>
      <c r="AK6" s="5"/>
      <c r="AL6" s="21">
        <v>4</v>
      </c>
      <c r="AM6" s="22">
        <f t="shared" si="3"/>
        <v>64</v>
      </c>
      <c r="AN6" s="23">
        <v>8.34</v>
      </c>
      <c r="AO6" s="23">
        <v>8.34</v>
      </c>
      <c r="AP6" s="23">
        <v>8.34</v>
      </c>
      <c r="AQ6" s="23">
        <v>8.34</v>
      </c>
      <c r="AR6" s="23">
        <v>8.34</v>
      </c>
      <c r="AS6" s="23">
        <v>8.34</v>
      </c>
      <c r="AT6" s="23">
        <v>8.34</v>
      </c>
      <c r="AU6" s="23">
        <v>8.34</v>
      </c>
      <c r="AX6" s="15" t="s">
        <v>123</v>
      </c>
      <c r="AY6" s="16"/>
      <c r="AZ6" s="16"/>
      <c r="BA6" s="33" t="s">
        <v>124</v>
      </c>
      <c r="BB6" s="26"/>
      <c r="BC6" s="26"/>
      <c r="BD6" s="26"/>
      <c r="BE6" s="26"/>
      <c r="BF6" s="37">
        <v>5.55</v>
      </c>
      <c r="BG6" s="38"/>
      <c r="BH6" s="36" t="s">
        <v>125</v>
      </c>
    </row>
    <row r="7" ht="15.6" spans="1:60">
      <c r="B7" s="21">
        <v>5</v>
      </c>
      <c r="C7" s="22">
        <f t="shared" si="0"/>
        <v>80</v>
      </c>
      <c r="D7" s="23">
        <v>12.18</v>
      </c>
      <c r="E7" s="23">
        <v>12.18</v>
      </c>
      <c r="F7" s="23">
        <v>12.18</v>
      </c>
      <c r="G7" s="23">
        <v>12.18</v>
      </c>
      <c r="H7" s="23">
        <v>12.18</v>
      </c>
      <c r="I7" s="23">
        <v>12.18</v>
      </c>
      <c r="J7" s="23">
        <v>12.18</v>
      </c>
      <c r="K7" s="23">
        <v>12.18</v>
      </c>
      <c r="L7" s="4"/>
      <c r="M7" s="4"/>
      <c r="N7" s="21">
        <v>5</v>
      </c>
      <c r="O7" s="22">
        <f t="shared" si="1"/>
        <v>80</v>
      </c>
      <c r="P7" s="23">
        <v>11.17</v>
      </c>
      <c r="Q7" s="23">
        <v>11.17</v>
      </c>
      <c r="R7" s="23">
        <v>11.17</v>
      </c>
      <c r="S7" s="23">
        <v>11.17</v>
      </c>
      <c r="T7" s="23">
        <v>11.17</v>
      </c>
      <c r="U7" s="23">
        <v>11.17</v>
      </c>
      <c r="V7" s="23">
        <v>11.17</v>
      </c>
      <c r="W7" s="23">
        <v>11.17</v>
      </c>
      <c r="X7" s="4"/>
      <c r="Y7" s="4"/>
      <c r="Z7" s="21">
        <v>5</v>
      </c>
      <c r="AA7" s="22">
        <f t="shared" si="2"/>
        <v>80</v>
      </c>
      <c r="AB7" s="23">
        <v>10.15</v>
      </c>
      <c r="AC7" s="23">
        <v>10.15</v>
      </c>
      <c r="AD7" s="23">
        <v>10.15</v>
      </c>
      <c r="AE7" s="23">
        <v>10.15</v>
      </c>
      <c r="AF7" s="23">
        <v>10.15</v>
      </c>
      <c r="AG7" s="23">
        <v>10.15</v>
      </c>
      <c r="AH7" s="23">
        <v>10.15</v>
      </c>
      <c r="AI7" s="23">
        <v>10.15</v>
      </c>
      <c r="AJ7" s="5"/>
      <c r="AK7" s="5"/>
      <c r="AL7" s="21">
        <v>5</v>
      </c>
      <c r="AM7" s="22">
        <f t="shared" si="3"/>
        <v>80</v>
      </c>
      <c r="AN7" s="23">
        <v>8.34</v>
      </c>
      <c r="AO7" s="23">
        <v>8.34</v>
      </c>
      <c r="AP7" s="23">
        <v>8.34</v>
      </c>
      <c r="AQ7" s="23">
        <v>8.34</v>
      </c>
      <c r="AR7" s="23">
        <v>8.34</v>
      </c>
      <c r="AS7" s="23">
        <v>8.34</v>
      </c>
      <c r="AT7" s="23">
        <v>8.34</v>
      </c>
      <c r="AU7" s="23">
        <v>8.34</v>
      </c>
      <c r="AX7" s="15" t="s">
        <v>126</v>
      </c>
      <c r="AY7" s="16"/>
      <c r="AZ7" s="16"/>
      <c r="BA7" s="17" t="s">
        <v>127</v>
      </c>
      <c r="BB7" s="18"/>
      <c r="BC7" s="18"/>
      <c r="BD7" s="18"/>
      <c r="BE7" s="18"/>
      <c r="BF7" s="39">
        <v>16.75</v>
      </c>
      <c r="BG7" s="40"/>
      <c r="BH7" s="36" t="s">
        <v>128</v>
      </c>
    </row>
    <row r="8" ht="15.6" spans="1:60">
      <c r="B8" s="21">
        <v>6</v>
      </c>
      <c r="C8" s="22">
        <f t="shared" si="0"/>
        <v>96</v>
      </c>
      <c r="D8" s="23">
        <v>12.18</v>
      </c>
      <c r="E8" s="23">
        <v>12.18</v>
      </c>
      <c r="F8" s="23">
        <v>12.18</v>
      </c>
      <c r="G8" s="23">
        <v>12.18</v>
      </c>
      <c r="H8" s="23">
        <v>12.18</v>
      </c>
      <c r="I8" s="23">
        <v>12.18</v>
      </c>
      <c r="J8" s="23">
        <v>12.18</v>
      </c>
      <c r="K8" s="23">
        <v>12.18</v>
      </c>
      <c r="L8" s="4"/>
      <c r="M8" s="4"/>
      <c r="N8" s="21">
        <v>6</v>
      </c>
      <c r="O8" s="22">
        <f t="shared" si="1"/>
        <v>96</v>
      </c>
      <c r="P8" s="23">
        <v>11.17</v>
      </c>
      <c r="Q8" s="23">
        <v>11.17</v>
      </c>
      <c r="R8" s="23">
        <v>11.17</v>
      </c>
      <c r="S8" s="23">
        <v>11.17</v>
      </c>
      <c r="T8" s="23">
        <v>11.17</v>
      </c>
      <c r="U8" s="23">
        <v>11.17</v>
      </c>
      <c r="V8" s="23">
        <v>11.17</v>
      </c>
      <c r="W8" s="23">
        <v>11.17</v>
      </c>
      <c r="X8" s="4"/>
      <c r="Y8" s="4"/>
      <c r="Z8" s="21">
        <v>6</v>
      </c>
      <c r="AA8" s="22">
        <f t="shared" si="2"/>
        <v>96</v>
      </c>
      <c r="AB8" s="23">
        <v>10.15</v>
      </c>
      <c r="AC8" s="23">
        <v>10.15</v>
      </c>
      <c r="AD8" s="23">
        <v>10.15</v>
      </c>
      <c r="AE8" s="23">
        <v>10.15</v>
      </c>
      <c r="AF8" s="23">
        <v>10.15</v>
      </c>
      <c r="AG8" s="23">
        <v>10.15</v>
      </c>
      <c r="AH8" s="23">
        <v>10.15</v>
      </c>
      <c r="AI8" s="23">
        <v>10.15</v>
      </c>
      <c r="AJ8" s="5"/>
      <c r="AK8" s="5"/>
      <c r="AL8" s="21">
        <v>6</v>
      </c>
      <c r="AM8" s="22">
        <f t="shared" si="3"/>
        <v>96</v>
      </c>
      <c r="AN8" s="23">
        <v>8.34</v>
      </c>
      <c r="AO8" s="23">
        <v>8.34</v>
      </c>
      <c r="AP8" s="23">
        <v>8.34</v>
      </c>
      <c r="AQ8" s="23">
        <v>8.34</v>
      </c>
      <c r="AR8" s="23">
        <v>8.34</v>
      </c>
      <c r="AS8" s="23">
        <v>8.34</v>
      </c>
      <c r="AT8" s="23">
        <v>8.34</v>
      </c>
      <c r="AU8" s="23">
        <v>8.34</v>
      </c>
      <c r="AX8" s="41" t="s">
        <v>129</v>
      </c>
      <c r="AY8" s="42"/>
      <c r="AZ8" s="42"/>
      <c r="BA8" s="43" t="s">
        <v>130</v>
      </c>
      <c r="BB8" s="44"/>
      <c r="BC8" s="44"/>
      <c r="BD8" s="44"/>
      <c r="BE8" s="44"/>
      <c r="BF8" s="45" t="s">
        <v>131</v>
      </c>
      <c r="BG8" s="46">
        <v>11</v>
      </c>
    </row>
    <row r="9" ht="15.6" spans="1:60">
      <c r="B9" s="21">
        <v>7</v>
      </c>
      <c r="C9" s="22">
        <f t="shared" si="0"/>
        <v>112</v>
      </c>
      <c r="D9" s="23">
        <v>12.18</v>
      </c>
      <c r="E9" s="23">
        <v>12.18</v>
      </c>
      <c r="F9" s="23">
        <v>12.18</v>
      </c>
      <c r="G9" s="23">
        <v>12.18</v>
      </c>
      <c r="H9" s="23">
        <v>12.18</v>
      </c>
      <c r="I9" s="23">
        <v>12.18</v>
      </c>
      <c r="J9" s="23">
        <v>12.18</v>
      </c>
      <c r="K9" s="23">
        <v>12.22</v>
      </c>
      <c r="L9" s="4"/>
      <c r="M9" s="4"/>
      <c r="N9" s="21">
        <v>7</v>
      </c>
      <c r="O9" s="22">
        <f t="shared" si="1"/>
        <v>112</v>
      </c>
      <c r="P9" s="23">
        <v>11.17</v>
      </c>
      <c r="Q9" s="23">
        <v>11.17</v>
      </c>
      <c r="R9" s="23">
        <v>11.17</v>
      </c>
      <c r="S9" s="23">
        <v>11.17</v>
      </c>
      <c r="T9" s="23">
        <v>11.17</v>
      </c>
      <c r="U9" s="23">
        <v>11.17</v>
      </c>
      <c r="V9" s="23">
        <v>11.17</v>
      </c>
      <c r="W9" s="23">
        <v>11.2</v>
      </c>
      <c r="X9" s="4"/>
      <c r="Y9" s="4"/>
      <c r="Z9" s="21">
        <v>7</v>
      </c>
      <c r="AA9" s="22">
        <f t="shared" si="2"/>
        <v>112</v>
      </c>
      <c r="AB9" s="23">
        <v>10.15</v>
      </c>
      <c r="AC9" s="23">
        <v>10.15</v>
      </c>
      <c r="AD9" s="23">
        <v>10.15</v>
      </c>
      <c r="AE9" s="23">
        <v>10.15</v>
      </c>
      <c r="AF9" s="23">
        <v>10.15</v>
      </c>
      <c r="AG9" s="23">
        <v>10.15</v>
      </c>
      <c r="AH9" s="23">
        <v>10.15</v>
      </c>
      <c r="AI9" s="23">
        <v>10.18</v>
      </c>
      <c r="AJ9" s="5"/>
      <c r="AK9" s="5"/>
      <c r="AL9" s="21">
        <v>7</v>
      </c>
      <c r="AM9" s="22">
        <f t="shared" si="3"/>
        <v>112</v>
      </c>
      <c r="AN9" s="23">
        <v>8.34</v>
      </c>
      <c r="AO9" s="23">
        <v>8.34</v>
      </c>
      <c r="AP9" s="23">
        <v>8.34</v>
      </c>
      <c r="AQ9" s="23">
        <v>8.34</v>
      </c>
      <c r="AR9" s="23">
        <v>8.34</v>
      </c>
      <c r="AS9" s="23">
        <v>8.34</v>
      </c>
      <c r="AT9" s="23">
        <v>8.34</v>
      </c>
      <c r="AU9" s="23">
        <v>8.36</v>
      </c>
      <c r="AX9" s="47"/>
      <c r="AY9" s="48"/>
      <c r="AZ9" s="48"/>
      <c r="BA9" s="49"/>
      <c r="BB9" s="50"/>
      <c r="BC9" s="50"/>
      <c r="BD9" s="50"/>
      <c r="BE9" s="50"/>
      <c r="BF9" s="51" t="s">
        <v>132</v>
      </c>
      <c r="BG9" s="52">
        <v>12.25</v>
      </c>
    </row>
    <row r="10" ht="15.6" spans="1:60">
      <c r="B10" s="21">
        <v>8</v>
      </c>
      <c r="C10" s="22">
        <f t="shared" si="0"/>
        <v>128</v>
      </c>
      <c r="D10" s="23">
        <v>12.18</v>
      </c>
      <c r="E10" s="23">
        <v>12.18</v>
      </c>
      <c r="F10" s="23">
        <v>12.18</v>
      </c>
      <c r="G10" s="23">
        <v>12.18</v>
      </c>
      <c r="H10" s="23">
        <v>12.18</v>
      </c>
      <c r="I10" s="23">
        <v>12.18</v>
      </c>
      <c r="J10" s="23">
        <v>12.18</v>
      </c>
      <c r="K10" s="23">
        <v>12.74</v>
      </c>
      <c r="L10" s="4"/>
      <c r="M10" s="4"/>
      <c r="N10" s="21">
        <v>8</v>
      </c>
      <c r="O10" s="22">
        <f t="shared" si="1"/>
        <v>128</v>
      </c>
      <c r="P10" s="23">
        <v>11.17</v>
      </c>
      <c r="Q10" s="23">
        <v>11.17</v>
      </c>
      <c r="R10" s="23">
        <v>11.17</v>
      </c>
      <c r="S10" s="23">
        <v>11.17</v>
      </c>
      <c r="T10" s="23">
        <v>11.17</v>
      </c>
      <c r="U10" s="23">
        <v>11.17</v>
      </c>
      <c r="V10" s="23">
        <v>11.17</v>
      </c>
      <c r="W10" s="23">
        <v>11.68</v>
      </c>
      <c r="X10" s="4"/>
      <c r="Y10" s="4"/>
      <c r="Z10" s="21">
        <v>8</v>
      </c>
      <c r="AA10" s="22">
        <f t="shared" si="2"/>
        <v>128</v>
      </c>
      <c r="AB10" s="23">
        <v>10.15</v>
      </c>
      <c r="AC10" s="23">
        <v>10.15</v>
      </c>
      <c r="AD10" s="23">
        <v>10.15</v>
      </c>
      <c r="AE10" s="23">
        <v>10.15</v>
      </c>
      <c r="AF10" s="23">
        <v>10.15</v>
      </c>
      <c r="AG10" s="23">
        <v>10.15</v>
      </c>
      <c r="AH10" s="23">
        <v>10.15</v>
      </c>
      <c r="AI10" s="23">
        <v>10.61</v>
      </c>
      <c r="AJ10" s="5"/>
      <c r="AK10" s="5"/>
      <c r="AL10" s="21">
        <v>8</v>
      </c>
      <c r="AM10" s="22">
        <f t="shared" si="3"/>
        <v>128</v>
      </c>
      <c r="AN10" s="23">
        <v>8.34</v>
      </c>
      <c r="AO10" s="23">
        <v>8.34</v>
      </c>
      <c r="AP10" s="23">
        <v>8.34</v>
      </c>
      <c r="AQ10" s="23">
        <v>8.34</v>
      </c>
      <c r="AR10" s="23">
        <v>8.34</v>
      </c>
      <c r="AS10" s="23">
        <v>8.34</v>
      </c>
      <c r="AT10" s="23">
        <v>8.34</v>
      </c>
      <c r="AU10" s="23">
        <v>8.72</v>
      </c>
      <c r="AX10" s="47"/>
      <c r="AY10" s="48"/>
      <c r="AZ10" s="48"/>
      <c r="BA10" s="49"/>
      <c r="BB10" s="50"/>
      <c r="BC10" s="50"/>
      <c r="BD10" s="50"/>
      <c r="BE10" s="50"/>
      <c r="BF10" s="51" t="s">
        <v>133</v>
      </c>
      <c r="BG10" s="52">
        <v>14.15</v>
      </c>
    </row>
    <row r="11" ht="15.6" spans="1:60">
      <c r="B11" s="21">
        <v>9</v>
      </c>
      <c r="C11" s="22">
        <f t="shared" si="0"/>
        <v>144</v>
      </c>
      <c r="D11" s="23">
        <v>12.18</v>
      </c>
      <c r="E11" s="23">
        <v>12.18</v>
      </c>
      <c r="F11" s="23">
        <v>12.18</v>
      </c>
      <c r="G11" s="23">
        <v>12.18</v>
      </c>
      <c r="H11" s="23">
        <v>12.18</v>
      </c>
      <c r="I11" s="23">
        <v>12.26</v>
      </c>
      <c r="J11" s="23">
        <v>12.35</v>
      </c>
      <c r="K11" s="23">
        <v>13.43</v>
      </c>
      <c r="L11" s="4"/>
      <c r="M11" s="4"/>
      <c r="N11" s="21">
        <v>9</v>
      </c>
      <c r="O11" s="22">
        <f t="shared" si="1"/>
        <v>144</v>
      </c>
      <c r="P11" s="23">
        <v>11.17</v>
      </c>
      <c r="Q11" s="23">
        <v>11.17</v>
      </c>
      <c r="R11" s="23">
        <v>11.17</v>
      </c>
      <c r="S11" s="23">
        <v>11.17</v>
      </c>
      <c r="T11" s="23">
        <v>11.17</v>
      </c>
      <c r="U11" s="23">
        <v>11.24</v>
      </c>
      <c r="V11" s="23">
        <v>11.32</v>
      </c>
      <c r="W11" s="23">
        <v>12.31</v>
      </c>
      <c r="X11" s="4"/>
      <c r="Y11" s="4"/>
      <c r="Z11" s="21">
        <v>9</v>
      </c>
      <c r="AA11" s="22">
        <f t="shared" si="2"/>
        <v>144</v>
      </c>
      <c r="AB11" s="23">
        <v>10.15</v>
      </c>
      <c r="AC11" s="23">
        <v>10.15</v>
      </c>
      <c r="AD11" s="23">
        <v>10.15</v>
      </c>
      <c r="AE11" s="23">
        <v>10.15</v>
      </c>
      <c r="AF11" s="23">
        <v>10.15</v>
      </c>
      <c r="AG11" s="23">
        <v>10.21</v>
      </c>
      <c r="AH11" s="23">
        <v>10.29</v>
      </c>
      <c r="AI11" s="23">
        <v>11.19</v>
      </c>
      <c r="AJ11" s="5"/>
      <c r="AK11" s="5"/>
      <c r="AL11" s="21">
        <v>9</v>
      </c>
      <c r="AM11" s="22">
        <f t="shared" si="3"/>
        <v>144</v>
      </c>
      <c r="AN11" s="23">
        <v>8.34</v>
      </c>
      <c r="AO11" s="23">
        <v>8.34</v>
      </c>
      <c r="AP11" s="23">
        <v>8.34</v>
      </c>
      <c r="AQ11" s="23">
        <v>8.34</v>
      </c>
      <c r="AR11" s="23">
        <v>8.34</v>
      </c>
      <c r="AS11" s="23">
        <v>8.38</v>
      </c>
      <c r="AT11" s="23">
        <v>8.45</v>
      </c>
      <c r="AU11" s="23">
        <v>9.19</v>
      </c>
      <c r="AX11" s="53" t="s">
        <v>134</v>
      </c>
      <c r="AY11" s="54"/>
      <c r="AZ11" s="54"/>
      <c r="BA11" s="55" t="s">
        <v>135</v>
      </c>
      <c r="BB11" s="56"/>
      <c r="BC11" s="56"/>
      <c r="BD11" s="56"/>
      <c r="BE11" s="56"/>
      <c r="BF11" s="45" t="s">
        <v>131</v>
      </c>
      <c r="BG11" s="57">
        <v>45.89</v>
      </c>
      <c r="BH11" s="36" t="s">
        <v>136</v>
      </c>
    </row>
    <row r="12" ht="15.6" spans="1:60">
      <c r="B12" s="21">
        <v>10</v>
      </c>
      <c r="C12" s="22">
        <f t="shared" si="0"/>
        <v>160</v>
      </c>
      <c r="D12" s="23">
        <v>12.18</v>
      </c>
      <c r="E12" s="23">
        <v>12.18</v>
      </c>
      <c r="F12" s="23">
        <v>12.18</v>
      </c>
      <c r="G12" s="23">
        <v>12.18</v>
      </c>
      <c r="H12" s="23">
        <v>12.18</v>
      </c>
      <c r="I12" s="23">
        <v>12.4</v>
      </c>
      <c r="J12" s="23">
        <v>12.94</v>
      </c>
      <c r="K12" s="23">
        <v>14.3</v>
      </c>
      <c r="L12" s="4"/>
      <c r="M12" s="4"/>
      <c r="N12" s="21">
        <v>10</v>
      </c>
      <c r="O12" s="22">
        <f t="shared" si="1"/>
        <v>160</v>
      </c>
      <c r="P12" s="23">
        <v>11.17</v>
      </c>
      <c r="Q12" s="23">
        <v>11.17</v>
      </c>
      <c r="R12" s="23">
        <v>11.17</v>
      </c>
      <c r="S12" s="23">
        <v>11.17</v>
      </c>
      <c r="T12" s="23">
        <v>11.17</v>
      </c>
      <c r="U12" s="23">
        <v>11.37</v>
      </c>
      <c r="V12" s="23">
        <v>11.86</v>
      </c>
      <c r="W12" s="23">
        <v>13.11</v>
      </c>
      <c r="X12" s="4"/>
      <c r="Y12" s="4"/>
      <c r="Z12" s="21">
        <v>10</v>
      </c>
      <c r="AA12" s="22">
        <f t="shared" si="2"/>
        <v>160</v>
      </c>
      <c r="AB12" s="23">
        <v>10.15</v>
      </c>
      <c r="AC12" s="23">
        <v>10.15</v>
      </c>
      <c r="AD12" s="23">
        <v>10.15</v>
      </c>
      <c r="AE12" s="23">
        <v>10.15</v>
      </c>
      <c r="AF12" s="23">
        <v>10.15</v>
      </c>
      <c r="AG12" s="23">
        <v>10.33</v>
      </c>
      <c r="AH12" s="23">
        <v>10.78</v>
      </c>
      <c r="AI12" s="23">
        <v>11.91</v>
      </c>
      <c r="AJ12" s="5"/>
      <c r="AK12" s="5"/>
      <c r="AL12" s="21">
        <v>10</v>
      </c>
      <c r="AM12" s="22">
        <f t="shared" si="3"/>
        <v>160</v>
      </c>
      <c r="AN12" s="23">
        <v>8.34</v>
      </c>
      <c r="AO12" s="23">
        <v>8.34</v>
      </c>
      <c r="AP12" s="23">
        <v>8.34</v>
      </c>
      <c r="AQ12" s="23">
        <v>8.34</v>
      </c>
      <c r="AR12" s="23">
        <v>8.34</v>
      </c>
      <c r="AS12" s="23">
        <v>8.49</v>
      </c>
      <c r="AT12" s="23">
        <v>8.86</v>
      </c>
      <c r="AU12" s="23">
        <v>9.79</v>
      </c>
      <c r="AX12" s="58"/>
      <c r="AY12" s="59"/>
      <c r="AZ12" s="59"/>
      <c r="BA12" s="19"/>
      <c r="BB12" s="60"/>
      <c r="BC12" s="60"/>
      <c r="BD12" s="60"/>
      <c r="BE12" s="60"/>
      <c r="BF12" s="51" t="s">
        <v>132</v>
      </c>
      <c r="BG12" s="61">
        <v>49.88</v>
      </c>
      <c r="BH12" s="36"/>
    </row>
    <row r="13" ht="15.6" spans="1:60">
      <c r="B13" s="21">
        <v>11</v>
      </c>
      <c r="C13" s="22">
        <f t="shared" si="0"/>
        <v>176</v>
      </c>
      <c r="D13" s="23">
        <v>12.18</v>
      </c>
      <c r="E13" s="23">
        <v>12.18</v>
      </c>
      <c r="F13" s="23">
        <v>12.18</v>
      </c>
      <c r="G13" s="23">
        <v>12.18</v>
      </c>
      <c r="H13" s="23">
        <v>12.18</v>
      </c>
      <c r="I13" s="23">
        <v>12.7</v>
      </c>
      <c r="J13" s="23">
        <v>13.91</v>
      </c>
      <c r="K13" s="23">
        <v>15.12</v>
      </c>
      <c r="L13" s="4"/>
      <c r="M13" s="4"/>
      <c r="N13" s="21">
        <v>11</v>
      </c>
      <c r="O13" s="22">
        <f t="shared" si="1"/>
        <v>176</v>
      </c>
      <c r="P13" s="23">
        <v>11.17</v>
      </c>
      <c r="Q13" s="23">
        <v>11.17</v>
      </c>
      <c r="R13" s="23">
        <v>11.17</v>
      </c>
      <c r="S13" s="23">
        <v>11.17</v>
      </c>
      <c r="T13" s="23">
        <v>11.17</v>
      </c>
      <c r="U13" s="23">
        <v>11.64</v>
      </c>
      <c r="V13" s="23">
        <v>12.75</v>
      </c>
      <c r="W13" s="23">
        <v>13.86</v>
      </c>
      <c r="X13" s="4"/>
      <c r="Y13" s="4"/>
      <c r="Z13" s="21">
        <v>11</v>
      </c>
      <c r="AA13" s="22">
        <f t="shared" si="2"/>
        <v>176</v>
      </c>
      <c r="AB13" s="23">
        <v>10.15</v>
      </c>
      <c r="AC13" s="23">
        <v>10.15</v>
      </c>
      <c r="AD13" s="23">
        <v>10.15</v>
      </c>
      <c r="AE13" s="23">
        <v>10.15</v>
      </c>
      <c r="AF13" s="23">
        <v>10.15</v>
      </c>
      <c r="AG13" s="23">
        <v>10.58</v>
      </c>
      <c r="AH13" s="23">
        <v>11.59</v>
      </c>
      <c r="AI13" s="23">
        <v>12.6</v>
      </c>
      <c r="AJ13" s="5"/>
      <c r="AK13" s="5"/>
      <c r="AL13" s="21">
        <v>11</v>
      </c>
      <c r="AM13" s="22">
        <f t="shared" si="3"/>
        <v>176</v>
      </c>
      <c r="AN13" s="23">
        <v>8.34</v>
      </c>
      <c r="AO13" s="23">
        <v>8.34</v>
      </c>
      <c r="AP13" s="23">
        <v>8.34</v>
      </c>
      <c r="AQ13" s="23">
        <v>8.34</v>
      </c>
      <c r="AR13" s="23">
        <v>8.34</v>
      </c>
      <c r="AS13" s="23">
        <v>8.69</v>
      </c>
      <c r="AT13" s="23">
        <v>9.52</v>
      </c>
      <c r="AU13" s="23">
        <v>10.35</v>
      </c>
      <c r="AX13" s="58"/>
      <c r="AY13" s="59"/>
      <c r="AZ13" s="59"/>
      <c r="BA13" s="19"/>
      <c r="BB13" s="60"/>
      <c r="BC13" s="60"/>
      <c r="BD13" s="60"/>
      <c r="BE13" s="60"/>
      <c r="BF13" s="51" t="s">
        <v>133</v>
      </c>
      <c r="BG13" s="61">
        <v>55.2</v>
      </c>
      <c r="BH13" s="36"/>
    </row>
    <row r="14" ht="15.6" spans="1:60">
      <c r="B14" s="21">
        <v>12</v>
      </c>
      <c r="C14" s="22">
        <f t="shared" si="0"/>
        <v>192</v>
      </c>
      <c r="D14" s="23">
        <v>12.18</v>
      </c>
      <c r="E14" s="23">
        <v>12.18</v>
      </c>
      <c r="F14" s="23">
        <v>12.18</v>
      </c>
      <c r="G14" s="23">
        <v>12.18</v>
      </c>
      <c r="H14" s="23">
        <v>12.18</v>
      </c>
      <c r="I14" s="23">
        <v>13.16</v>
      </c>
      <c r="J14" s="23">
        <v>14.46</v>
      </c>
      <c r="K14" s="23">
        <v>15.83</v>
      </c>
      <c r="L14" s="4"/>
      <c r="M14" s="4"/>
      <c r="N14" s="21">
        <v>12</v>
      </c>
      <c r="O14" s="22">
        <f t="shared" si="1"/>
        <v>192</v>
      </c>
      <c r="P14" s="23">
        <v>11.17</v>
      </c>
      <c r="Q14" s="23">
        <v>11.17</v>
      </c>
      <c r="R14" s="23">
        <v>11.17</v>
      </c>
      <c r="S14" s="23">
        <v>11.17</v>
      </c>
      <c r="T14" s="23">
        <v>11.17</v>
      </c>
      <c r="U14" s="23">
        <v>12.06</v>
      </c>
      <c r="V14" s="23">
        <v>13.26</v>
      </c>
      <c r="W14" s="23">
        <v>14.51</v>
      </c>
      <c r="X14" s="4"/>
      <c r="Y14" s="4"/>
      <c r="Z14" s="21">
        <v>12</v>
      </c>
      <c r="AA14" s="22">
        <f t="shared" si="2"/>
        <v>192</v>
      </c>
      <c r="AB14" s="23">
        <v>10.15</v>
      </c>
      <c r="AC14" s="23">
        <v>10.15</v>
      </c>
      <c r="AD14" s="23">
        <v>10.15</v>
      </c>
      <c r="AE14" s="23">
        <v>10.15</v>
      </c>
      <c r="AF14" s="23">
        <v>10.15</v>
      </c>
      <c r="AG14" s="23">
        <v>10.96</v>
      </c>
      <c r="AH14" s="23">
        <v>12.05</v>
      </c>
      <c r="AI14" s="23">
        <v>13.19</v>
      </c>
      <c r="AJ14" s="5"/>
      <c r="AK14" s="5"/>
      <c r="AL14" s="21">
        <v>12</v>
      </c>
      <c r="AM14" s="22">
        <f t="shared" si="3"/>
        <v>192</v>
      </c>
      <c r="AN14" s="23">
        <v>8.34</v>
      </c>
      <c r="AO14" s="23">
        <v>8.34</v>
      </c>
      <c r="AP14" s="23">
        <v>8.34</v>
      </c>
      <c r="AQ14" s="23">
        <v>8.34</v>
      </c>
      <c r="AR14" s="23">
        <v>8.34</v>
      </c>
      <c r="AS14" s="23">
        <v>9</v>
      </c>
      <c r="AT14" s="23">
        <v>9.9</v>
      </c>
      <c r="AU14" s="23">
        <v>10.83</v>
      </c>
      <c r="AX14" s="53" t="s">
        <v>137</v>
      </c>
      <c r="AY14" s="54"/>
      <c r="AZ14" s="54"/>
      <c r="BA14" s="33" t="s">
        <v>138</v>
      </c>
      <c r="BB14" s="26"/>
      <c r="BC14" s="26"/>
      <c r="BD14" s="26"/>
      <c r="BE14" s="26"/>
      <c r="BF14" s="45" t="s">
        <v>131</v>
      </c>
      <c r="BG14" s="57">
        <v>29.26</v>
      </c>
      <c r="BH14" s="36" t="s">
        <v>139</v>
      </c>
    </row>
    <row r="15" ht="15.6" spans="1:60">
      <c r="B15" s="21">
        <v>13</v>
      </c>
      <c r="C15" s="22">
        <f t="shared" si="0"/>
        <v>208</v>
      </c>
      <c r="D15" s="23">
        <v>12.18</v>
      </c>
      <c r="E15" s="23">
        <v>12.18</v>
      </c>
      <c r="F15" s="23">
        <v>12.18</v>
      </c>
      <c r="G15" s="23">
        <v>12.18</v>
      </c>
      <c r="H15" s="23">
        <v>12.39</v>
      </c>
      <c r="I15" s="23">
        <v>13.56</v>
      </c>
      <c r="J15" s="23">
        <v>15.41</v>
      </c>
      <c r="K15" s="23">
        <v>16.6</v>
      </c>
      <c r="L15" s="4"/>
      <c r="M15" s="4"/>
      <c r="N15" s="21">
        <v>13</v>
      </c>
      <c r="O15" s="22">
        <f t="shared" si="1"/>
        <v>208</v>
      </c>
      <c r="P15" s="23">
        <v>11.17</v>
      </c>
      <c r="Q15" s="23">
        <v>11.17</v>
      </c>
      <c r="R15" s="23">
        <v>11.17</v>
      </c>
      <c r="S15" s="23">
        <v>11.17</v>
      </c>
      <c r="T15" s="23">
        <v>11.36</v>
      </c>
      <c r="U15" s="23">
        <v>12.43</v>
      </c>
      <c r="V15" s="23">
        <v>14.13</v>
      </c>
      <c r="W15" s="23">
        <v>15.22</v>
      </c>
      <c r="X15" s="4"/>
      <c r="Y15" s="4"/>
      <c r="Z15" s="21">
        <v>13</v>
      </c>
      <c r="AA15" s="22">
        <f t="shared" si="2"/>
        <v>208</v>
      </c>
      <c r="AB15" s="23">
        <v>10.15</v>
      </c>
      <c r="AC15" s="23">
        <v>10.15</v>
      </c>
      <c r="AD15" s="23">
        <v>10.15</v>
      </c>
      <c r="AE15" s="23">
        <v>10.15</v>
      </c>
      <c r="AF15" s="23">
        <v>10.32</v>
      </c>
      <c r="AG15" s="23">
        <v>11.3</v>
      </c>
      <c r="AH15" s="23">
        <v>12.84</v>
      </c>
      <c r="AI15" s="23">
        <v>13.83</v>
      </c>
      <c r="AJ15" s="5"/>
      <c r="AK15" s="5"/>
      <c r="AL15" s="21">
        <v>13</v>
      </c>
      <c r="AM15" s="22">
        <f t="shared" si="3"/>
        <v>208</v>
      </c>
      <c r="AN15" s="23">
        <v>8.34</v>
      </c>
      <c r="AO15" s="23">
        <v>8.34</v>
      </c>
      <c r="AP15" s="23">
        <v>8.34</v>
      </c>
      <c r="AQ15" s="23">
        <v>8.34</v>
      </c>
      <c r="AR15" s="23">
        <v>8.48</v>
      </c>
      <c r="AS15" s="23">
        <v>9.28</v>
      </c>
      <c r="AT15" s="23">
        <v>10.55</v>
      </c>
      <c r="AU15" s="23">
        <v>11.36</v>
      </c>
      <c r="AX15" s="58"/>
      <c r="AY15" s="59"/>
      <c r="AZ15" s="59"/>
      <c r="BA15" s="62"/>
      <c r="BB15" s="63"/>
      <c r="BC15" s="63"/>
      <c r="BD15" s="63"/>
      <c r="BE15" s="63"/>
      <c r="BF15" s="51" t="s">
        <v>132</v>
      </c>
      <c r="BG15" s="61">
        <v>32.59</v>
      </c>
      <c r="BH15" s="36"/>
    </row>
    <row r="16" ht="15.6" spans="1:60">
      <c r="B16" s="21">
        <v>14</v>
      </c>
      <c r="C16" s="22">
        <f t="shared" si="0"/>
        <v>224</v>
      </c>
      <c r="D16" s="23">
        <v>12.18</v>
      </c>
      <c r="E16" s="23">
        <v>12.18</v>
      </c>
      <c r="F16" s="23">
        <v>12.18</v>
      </c>
      <c r="G16" s="23">
        <v>12.18</v>
      </c>
      <c r="H16" s="23">
        <v>12.69</v>
      </c>
      <c r="I16" s="23">
        <v>14.36</v>
      </c>
      <c r="J16" s="23">
        <v>16.46</v>
      </c>
      <c r="K16" s="23">
        <v>17.94</v>
      </c>
      <c r="L16" s="4"/>
      <c r="M16" s="4"/>
      <c r="N16" s="21">
        <v>14</v>
      </c>
      <c r="O16" s="22">
        <f t="shared" si="1"/>
        <v>224</v>
      </c>
      <c r="P16" s="23">
        <v>11.17</v>
      </c>
      <c r="Q16" s="23">
        <v>11.17</v>
      </c>
      <c r="R16" s="23">
        <v>11.17</v>
      </c>
      <c r="S16" s="23">
        <v>11.17</v>
      </c>
      <c r="T16" s="23">
        <v>11.63</v>
      </c>
      <c r="U16" s="23">
        <v>13.16</v>
      </c>
      <c r="V16" s="23">
        <v>15.09</v>
      </c>
      <c r="W16" s="23">
        <v>16.45</v>
      </c>
      <c r="X16" s="4"/>
      <c r="Y16" s="4"/>
      <c r="Z16" s="21">
        <v>14</v>
      </c>
      <c r="AA16" s="22">
        <f t="shared" si="2"/>
        <v>224</v>
      </c>
      <c r="AB16" s="23">
        <v>10.15</v>
      </c>
      <c r="AC16" s="23">
        <v>10.15</v>
      </c>
      <c r="AD16" s="23">
        <v>10.15</v>
      </c>
      <c r="AE16" s="23">
        <v>10.15</v>
      </c>
      <c r="AF16" s="23">
        <v>10.57</v>
      </c>
      <c r="AG16" s="23">
        <v>11.96</v>
      </c>
      <c r="AH16" s="23">
        <v>13.71</v>
      </c>
      <c r="AI16" s="23">
        <v>14.95</v>
      </c>
      <c r="AJ16" s="5"/>
      <c r="AK16" s="5"/>
      <c r="AL16" s="21">
        <v>14</v>
      </c>
      <c r="AM16" s="22">
        <f t="shared" si="3"/>
        <v>224</v>
      </c>
      <c r="AN16" s="23">
        <v>8.34</v>
      </c>
      <c r="AO16" s="23">
        <v>8.34</v>
      </c>
      <c r="AP16" s="23">
        <v>8.34</v>
      </c>
      <c r="AQ16" s="23">
        <v>8.34</v>
      </c>
      <c r="AR16" s="23">
        <v>8.68</v>
      </c>
      <c r="AS16" s="23">
        <v>9.82</v>
      </c>
      <c r="AT16" s="23">
        <v>11.26</v>
      </c>
      <c r="AU16" s="23">
        <v>12.28</v>
      </c>
      <c r="AX16" s="58"/>
      <c r="AY16" s="59"/>
      <c r="AZ16" s="59"/>
      <c r="BA16" s="62"/>
      <c r="BB16" s="63"/>
      <c r="BC16" s="63"/>
      <c r="BD16" s="63"/>
      <c r="BE16" s="63"/>
      <c r="BF16" s="51" t="s">
        <v>133</v>
      </c>
      <c r="BG16" s="61">
        <v>37.57</v>
      </c>
      <c r="BH16" s="36"/>
    </row>
    <row r="17" ht="15.6" spans="2:60">
      <c r="B17" s="21">
        <v>15</v>
      </c>
      <c r="C17" s="22">
        <f t="shared" si="0"/>
        <v>240</v>
      </c>
      <c r="D17" s="23">
        <v>12.18</v>
      </c>
      <c r="E17" s="23">
        <v>12.18</v>
      </c>
      <c r="F17" s="23">
        <v>12.18</v>
      </c>
      <c r="G17" s="23">
        <v>12.18</v>
      </c>
      <c r="H17" s="23">
        <v>13.14</v>
      </c>
      <c r="I17" s="23">
        <v>15.16</v>
      </c>
      <c r="J17" s="23">
        <v>16.97</v>
      </c>
      <c r="K17" s="23">
        <v>18.78</v>
      </c>
      <c r="L17" s="4"/>
      <c r="M17" s="4"/>
      <c r="N17" s="21">
        <v>15</v>
      </c>
      <c r="O17" s="22">
        <f t="shared" si="1"/>
        <v>240</v>
      </c>
      <c r="P17" s="23">
        <v>11.17</v>
      </c>
      <c r="Q17" s="23">
        <v>11.17</v>
      </c>
      <c r="R17" s="23">
        <v>11.17</v>
      </c>
      <c r="S17" s="23">
        <v>11.17</v>
      </c>
      <c r="T17" s="23">
        <v>12.05</v>
      </c>
      <c r="U17" s="23">
        <v>13.9</v>
      </c>
      <c r="V17" s="23">
        <v>15.56</v>
      </c>
      <c r="W17" s="23">
        <v>17.22</v>
      </c>
      <c r="X17" s="4"/>
      <c r="Y17" s="4"/>
      <c r="Z17" s="21">
        <v>15</v>
      </c>
      <c r="AA17" s="22">
        <f t="shared" si="2"/>
        <v>240</v>
      </c>
      <c r="AB17" s="23">
        <v>10.15</v>
      </c>
      <c r="AC17" s="23">
        <v>10.15</v>
      </c>
      <c r="AD17" s="23">
        <v>10.15</v>
      </c>
      <c r="AE17" s="23">
        <v>10.15</v>
      </c>
      <c r="AF17" s="23">
        <v>10.95</v>
      </c>
      <c r="AG17" s="23">
        <v>12.63</v>
      </c>
      <c r="AH17" s="23">
        <v>14.14</v>
      </c>
      <c r="AI17" s="23">
        <v>15.65</v>
      </c>
      <c r="AJ17" s="5"/>
      <c r="AK17" s="5"/>
      <c r="AL17" s="21">
        <v>15</v>
      </c>
      <c r="AM17" s="22">
        <f t="shared" si="3"/>
        <v>240</v>
      </c>
      <c r="AN17" s="23">
        <v>8.34</v>
      </c>
      <c r="AO17" s="23">
        <v>8.34</v>
      </c>
      <c r="AP17" s="23">
        <v>8.34</v>
      </c>
      <c r="AQ17" s="23">
        <v>8.34</v>
      </c>
      <c r="AR17" s="23">
        <v>8.99</v>
      </c>
      <c r="AS17" s="23">
        <v>10.37</v>
      </c>
      <c r="AT17" s="23">
        <v>11.62</v>
      </c>
      <c r="AU17" s="23">
        <v>12.86</v>
      </c>
      <c r="AX17" s="53" t="s">
        <v>140</v>
      </c>
      <c r="AY17" s="54"/>
      <c r="AZ17" s="54"/>
      <c r="BA17" s="33" t="s">
        <v>141</v>
      </c>
      <c r="BB17" s="26"/>
      <c r="BC17" s="26"/>
      <c r="BD17" s="26"/>
      <c r="BE17" s="26"/>
      <c r="BF17" s="45" t="s">
        <v>131</v>
      </c>
      <c r="BG17" s="57">
        <v>25.94</v>
      </c>
      <c r="BH17" s="36" t="s">
        <v>142</v>
      </c>
    </row>
    <row r="18" ht="15.6" spans="2:60">
      <c r="B18" s="21">
        <v>16</v>
      </c>
      <c r="C18" s="22">
        <f t="shared" si="0"/>
        <v>256</v>
      </c>
      <c r="D18" s="23">
        <v>12.18</v>
      </c>
      <c r="E18" s="23">
        <v>12.18</v>
      </c>
      <c r="F18" s="23">
        <v>12.18</v>
      </c>
      <c r="G18" s="23">
        <v>12.18</v>
      </c>
      <c r="H18" s="23">
        <v>13.36</v>
      </c>
      <c r="I18" s="23">
        <v>15.64</v>
      </c>
      <c r="J18" s="23">
        <v>17.85</v>
      </c>
      <c r="K18" s="23">
        <v>19.61</v>
      </c>
      <c r="L18" s="4"/>
      <c r="M18" s="4"/>
      <c r="N18" s="21">
        <v>16</v>
      </c>
      <c r="O18" s="22">
        <f t="shared" si="1"/>
        <v>256</v>
      </c>
      <c r="P18" s="23">
        <v>11.17</v>
      </c>
      <c r="Q18" s="23">
        <v>11.17</v>
      </c>
      <c r="R18" s="23">
        <v>11.17</v>
      </c>
      <c r="S18" s="23">
        <v>11.17</v>
      </c>
      <c r="T18" s="23">
        <v>12.25</v>
      </c>
      <c r="U18" s="23">
        <v>14.34</v>
      </c>
      <c r="V18" s="23">
        <v>16.36</v>
      </c>
      <c r="W18" s="23">
        <v>17.98</v>
      </c>
      <c r="X18" s="4"/>
      <c r="Y18" s="4"/>
      <c r="Z18" s="21">
        <v>16</v>
      </c>
      <c r="AA18" s="22">
        <f t="shared" si="2"/>
        <v>256</v>
      </c>
      <c r="AB18" s="23">
        <v>10.15</v>
      </c>
      <c r="AC18" s="23">
        <v>10.15</v>
      </c>
      <c r="AD18" s="23">
        <v>10.15</v>
      </c>
      <c r="AE18" s="23">
        <v>10.15</v>
      </c>
      <c r="AF18" s="23">
        <v>11.13</v>
      </c>
      <c r="AG18" s="23">
        <v>13.03</v>
      </c>
      <c r="AH18" s="23">
        <v>14.87</v>
      </c>
      <c r="AI18" s="23">
        <v>16.34</v>
      </c>
      <c r="AJ18" s="5"/>
      <c r="AK18" s="5"/>
      <c r="AL18" s="21">
        <v>16</v>
      </c>
      <c r="AM18" s="22">
        <f t="shared" si="3"/>
        <v>256</v>
      </c>
      <c r="AN18" s="23">
        <v>8.34</v>
      </c>
      <c r="AO18" s="23">
        <v>8.34</v>
      </c>
      <c r="AP18" s="23">
        <v>8.34</v>
      </c>
      <c r="AQ18" s="23">
        <v>8.34</v>
      </c>
      <c r="AR18" s="23">
        <v>9.14</v>
      </c>
      <c r="AS18" s="23">
        <v>10.71</v>
      </c>
      <c r="AT18" s="23">
        <v>12.21</v>
      </c>
      <c r="AU18" s="23">
        <v>13.42</v>
      </c>
      <c r="AX18" s="58"/>
      <c r="AY18" s="59"/>
      <c r="AZ18" s="59"/>
      <c r="BA18" s="62"/>
      <c r="BB18" s="63"/>
      <c r="BC18" s="63"/>
      <c r="BD18" s="63"/>
      <c r="BE18" s="63"/>
      <c r="BF18" s="51" t="s">
        <v>132</v>
      </c>
      <c r="BG18" s="61">
        <v>30.59</v>
      </c>
      <c r="BH18" s="36"/>
    </row>
    <row r="19" ht="15.6" spans="2:60">
      <c r="B19" s="21">
        <v>17</v>
      </c>
      <c r="C19" s="22">
        <f t="shared" si="0"/>
        <v>272</v>
      </c>
      <c r="D19" s="23">
        <v>12.18</v>
      </c>
      <c r="E19" s="23">
        <v>12.18</v>
      </c>
      <c r="F19" s="23">
        <v>12.18</v>
      </c>
      <c r="G19" s="23">
        <v>12.18</v>
      </c>
      <c r="H19" s="23">
        <v>13.73</v>
      </c>
      <c r="I19" s="23">
        <v>16.3</v>
      </c>
      <c r="J19" s="23">
        <v>18.77</v>
      </c>
      <c r="K19" s="23">
        <v>19.73</v>
      </c>
      <c r="L19" s="4"/>
      <c r="M19" s="4"/>
      <c r="N19" s="21">
        <v>17</v>
      </c>
      <c r="O19" s="22">
        <f t="shared" si="1"/>
        <v>272</v>
      </c>
      <c r="P19" s="23">
        <v>11.17</v>
      </c>
      <c r="Q19" s="23">
        <v>11.17</v>
      </c>
      <c r="R19" s="23">
        <v>11.17</v>
      </c>
      <c r="S19" s="23">
        <v>11.17</v>
      </c>
      <c r="T19" s="23">
        <v>12.59</v>
      </c>
      <c r="U19" s="23">
        <v>14.94</v>
      </c>
      <c r="V19" s="23">
        <v>17.21</v>
      </c>
      <c r="W19" s="23">
        <v>18.09</v>
      </c>
      <c r="X19" s="4"/>
      <c r="Y19" s="4"/>
      <c r="Z19" s="21">
        <v>17</v>
      </c>
      <c r="AA19" s="22">
        <f t="shared" si="2"/>
        <v>272</v>
      </c>
      <c r="AB19" s="23">
        <v>10.15</v>
      </c>
      <c r="AC19" s="23">
        <v>10.15</v>
      </c>
      <c r="AD19" s="23">
        <v>10.15</v>
      </c>
      <c r="AE19" s="23">
        <v>10.15</v>
      </c>
      <c r="AF19" s="23">
        <v>11.44</v>
      </c>
      <c r="AG19" s="23">
        <v>13.58</v>
      </c>
      <c r="AH19" s="23">
        <v>15.64</v>
      </c>
      <c r="AI19" s="23">
        <v>16.44</v>
      </c>
      <c r="AJ19" s="5"/>
      <c r="AK19" s="5"/>
      <c r="AL19" s="21">
        <v>17</v>
      </c>
      <c r="AM19" s="22">
        <f t="shared" si="3"/>
        <v>272</v>
      </c>
      <c r="AN19" s="23">
        <v>8.34</v>
      </c>
      <c r="AO19" s="23">
        <v>8.34</v>
      </c>
      <c r="AP19" s="23">
        <v>8.34</v>
      </c>
      <c r="AQ19" s="23">
        <v>8.34</v>
      </c>
      <c r="AR19" s="23">
        <v>9.4</v>
      </c>
      <c r="AS19" s="23">
        <v>11.16</v>
      </c>
      <c r="AT19" s="23">
        <v>12.85</v>
      </c>
      <c r="AU19" s="23">
        <v>13.5</v>
      </c>
      <c r="AX19" s="58"/>
      <c r="AY19" s="59"/>
      <c r="AZ19" s="59"/>
      <c r="BA19" s="62"/>
      <c r="BB19" s="63"/>
      <c r="BC19" s="63"/>
      <c r="BD19" s="63"/>
      <c r="BE19" s="63"/>
      <c r="BF19" s="51" t="s">
        <v>133</v>
      </c>
      <c r="BG19" s="61">
        <v>32.59</v>
      </c>
      <c r="BH19" s="36"/>
    </row>
    <row r="20" ht="15.6" spans="2:60">
      <c r="B20" s="21">
        <v>18</v>
      </c>
      <c r="C20" s="22">
        <f t="shared" si="0"/>
        <v>288</v>
      </c>
      <c r="D20" s="23">
        <v>12.18</v>
      </c>
      <c r="E20" s="23">
        <v>12.18</v>
      </c>
      <c r="F20" s="23">
        <v>12.18</v>
      </c>
      <c r="G20" s="23">
        <v>12.18</v>
      </c>
      <c r="H20" s="23">
        <v>14.4</v>
      </c>
      <c r="I20" s="23">
        <v>17.15</v>
      </c>
      <c r="J20" s="23">
        <v>19.32</v>
      </c>
      <c r="K20" s="23">
        <v>21.26</v>
      </c>
      <c r="L20" s="4"/>
      <c r="M20" s="4"/>
      <c r="N20" s="21">
        <v>18</v>
      </c>
      <c r="O20" s="22">
        <f t="shared" si="1"/>
        <v>288</v>
      </c>
      <c r="P20" s="23">
        <v>11.17</v>
      </c>
      <c r="Q20" s="23">
        <v>11.17</v>
      </c>
      <c r="R20" s="23">
        <v>11.17</v>
      </c>
      <c r="S20" s="23">
        <v>11.17</v>
      </c>
      <c r="T20" s="23">
        <v>13.2</v>
      </c>
      <c r="U20" s="23">
        <v>15.72</v>
      </c>
      <c r="V20" s="23">
        <v>17.71</v>
      </c>
      <c r="W20" s="23">
        <v>19.49</v>
      </c>
      <c r="X20" s="4"/>
      <c r="Y20" s="4"/>
      <c r="Z20" s="21">
        <v>18</v>
      </c>
      <c r="AA20" s="22">
        <f t="shared" si="2"/>
        <v>288</v>
      </c>
      <c r="AB20" s="23">
        <v>10.15</v>
      </c>
      <c r="AC20" s="23">
        <v>10.15</v>
      </c>
      <c r="AD20" s="23">
        <v>10.15</v>
      </c>
      <c r="AE20" s="23">
        <v>10.15</v>
      </c>
      <c r="AF20" s="23">
        <v>12</v>
      </c>
      <c r="AG20" s="23">
        <v>14.29</v>
      </c>
      <c r="AH20" s="23">
        <v>16.1</v>
      </c>
      <c r="AI20" s="23">
        <v>17.71</v>
      </c>
      <c r="AJ20" s="5"/>
      <c r="AK20" s="5"/>
      <c r="AL20" s="21">
        <v>18</v>
      </c>
      <c r="AM20" s="22">
        <f t="shared" si="3"/>
        <v>288</v>
      </c>
      <c r="AN20" s="23">
        <v>8.34</v>
      </c>
      <c r="AO20" s="23">
        <v>8.34</v>
      </c>
      <c r="AP20" s="23">
        <v>8.34</v>
      </c>
      <c r="AQ20" s="23">
        <v>8.34</v>
      </c>
      <c r="AR20" s="23">
        <v>9.86</v>
      </c>
      <c r="AS20" s="23">
        <v>11.74</v>
      </c>
      <c r="AT20" s="23">
        <v>13.23</v>
      </c>
      <c r="AU20" s="23">
        <v>14.55</v>
      </c>
      <c r="AX20" s="53" t="s">
        <v>143</v>
      </c>
      <c r="AY20" s="54"/>
      <c r="AZ20" s="54"/>
      <c r="BA20" s="33" t="s">
        <v>144</v>
      </c>
      <c r="BB20" s="26"/>
      <c r="BC20" s="26"/>
      <c r="BD20" s="26"/>
      <c r="BE20" s="26"/>
      <c r="BF20" s="45" t="s">
        <v>131</v>
      </c>
      <c r="BG20" s="57">
        <v>255</v>
      </c>
      <c r="BH20" s="64" t="s">
        <v>145</v>
      </c>
    </row>
    <row r="21" ht="15.6" spans="2:60">
      <c r="B21" s="21">
        <v>19</v>
      </c>
      <c r="C21" s="22">
        <f t="shared" si="0"/>
        <v>304</v>
      </c>
      <c r="D21" s="23">
        <v>12.18</v>
      </c>
      <c r="E21" s="23">
        <v>12.18</v>
      </c>
      <c r="F21" s="23">
        <v>12.34</v>
      </c>
      <c r="G21" s="23">
        <v>12.64</v>
      </c>
      <c r="H21" s="23">
        <v>15.03</v>
      </c>
      <c r="I21" s="23">
        <v>17.6</v>
      </c>
      <c r="J21" s="23">
        <v>19.86</v>
      </c>
      <c r="K21" s="23">
        <v>22.13</v>
      </c>
      <c r="L21" s="4"/>
      <c r="M21" s="4"/>
      <c r="N21" s="21">
        <v>19</v>
      </c>
      <c r="O21" s="22">
        <f t="shared" si="1"/>
        <v>304</v>
      </c>
      <c r="P21" s="23">
        <v>11.17</v>
      </c>
      <c r="Q21" s="23">
        <v>11.17</v>
      </c>
      <c r="R21" s="23">
        <v>11.31</v>
      </c>
      <c r="S21" s="23">
        <v>11.59</v>
      </c>
      <c r="T21" s="23">
        <v>13.78</v>
      </c>
      <c r="U21" s="23">
        <v>16.13</v>
      </c>
      <c r="V21" s="23">
        <v>18.21</v>
      </c>
      <c r="W21" s="23">
        <v>20.29</v>
      </c>
      <c r="X21" s="4"/>
      <c r="Y21" s="4"/>
      <c r="Z21" s="21">
        <v>19</v>
      </c>
      <c r="AA21" s="22">
        <f t="shared" si="2"/>
        <v>304</v>
      </c>
      <c r="AB21" s="23">
        <v>10.15</v>
      </c>
      <c r="AC21" s="23">
        <v>10.15</v>
      </c>
      <c r="AD21" s="23">
        <v>10.28</v>
      </c>
      <c r="AE21" s="23">
        <v>10.53</v>
      </c>
      <c r="AF21" s="23">
        <v>12.52</v>
      </c>
      <c r="AG21" s="23">
        <v>14.66</v>
      </c>
      <c r="AH21" s="23">
        <v>16.55</v>
      </c>
      <c r="AI21" s="23">
        <v>18.44</v>
      </c>
      <c r="AJ21" s="5"/>
      <c r="AK21" s="5"/>
      <c r="AL21" s="21">
        <v>19</v>
      </c>
      <c r="AM21" s="22">
        <f t="shared" si="3"/>
        <v>304</v>
      </c>
      <c r="AN21" s="23">
        <v>8.34</v>
      </c>
      <c r="AO21" s="23">
        <v>8.34</v>
      </c>
      <c r="AP21" s="23">
        <v>8.44</v>
      </c>
      <c r="AQ21" s="23">
        <v>8.65</v>
      </c>
      <c r="AR21" s="23">
        <v>10.28</v>
      </c>
      <c r="AS21" s="23">
        <v>12.04</v>
      </c>
      <c r="AT21" s="23">
        <v>13.59</v>
      </c>
      <c r="AU21" s="23">
        <v>15.15</v>
      </c>
      <c r="AX21" s="58"/>
      <c r="AY21" s="59"/>
      <c r="AZ21" s="59"/>
      <c r="BA21" s="62"/>
      <c r="BB21" s="63"/>
      <c r="BC21" s="63"/>
      <c r="BD21" s="63"/>
      <c r="BE21" s="63"/>
      <c r="BF21" s="51" t="s">
        <v>132</v>
      </c>
      <c r="BG21" s="61">
        <v>275</v>
      </c>
      <c r="BH21" s="65"/>
    </row>
    <row r="22" ht="15.6" spans="2:60">
      <c r="B22" s="21">
        <v>20</v>
      </c>
      <c r="C22" s="22">
        <f t="shared" si="0"/>
        <v>320</v>
      </c>
      <c r="D22" s="23">
        <v>12.18</v>
      </c>
      <c r="E22" s="23">
        <v>12.18</v>
      </c>
      <c r="F22" s="23">
        <v>12.44</v>
      </c>
      <c r="G22" s="23">
        <v>12.7</v>
      </c>
      <c r="H22" s="23">
        <v>15.62</v>
      </c>
      <c r="I22" s="23">
        <v>18.2</v>
      </c>
      <c r="J22" s="23">
        <v>20.6</v>
      </c>
      <c r="K22" s="23">
        <v>23.09</v>
      </c>
      <c r="L22" s="4"/>
      <c r="M22" s="4"/>
      <c r="N22" s="21">
        <v>20</v>
      </c>
      <c r="O22" s="22">
        <f t="shared" si="1"/>
        <v>320</v>
      </c>
      <c r="P22" s="23">
        <v>11.17</v>
      </c>
      <c r="Q22" s="23">
        <v>11.17</v>
      </c>
      <c r="R22" s="23">
        <v>11.4</v>
      </c>
      <c r="S22" s="23">
        <v>11.64</v>
      </c>
      <c r="T22" s="23">
        <v>14.32</v>
      </c>
      <c r="U22" s="23">
        <v>16.68</v>
      </c>
      <c r="V22" s="23">
        <v>18.88</v>
      </c>
      <c r="W22" s="23">
        <v>21.17</v>
      </c>
      <c r="X22" s="4"/>
      <c r="Y22" s="4"/>
      <c r="Z22" s="21">
        <v>20</v>
      </c>
      <c r="AA22" s="22">
        <f t="shared" si="2"/>
        <v>320</v>
      </c>
      <c r="AB22" s="23">
        <v>10.15</v>
      </c>
      <c r="AC22" s="23">
        <v>10.15</v>
      </c>
      <c r="AD22" s="23">
        <v>10.36</v>
      </c>
      <c r="AE22" s="23">
        <v>10.58</v>
      </c>
      <c r="AF22" s="23">
        <v>13.01</v>
      </c>
      <c r="AG22" s="23">
        <v>15.16</v>
      </c>
      <c r="AH22" s="23">
        <v>17.16</v>
      </c>
      <c r="AI22" s="23">
        <v>19.24</v>
      </c>
      <c r="AJ22" s="5"/>
      <c r="AK22" s="5"/>
      <c r="AL22" s="21">
        <v>20</v>
      </c>
      <c r="AM22" s="22">
        <f t="shared" si="3"/>
        <v>320</v>
      </c>
      <c r="AN22" s="23">
        <v>8.34</v>
      </c>
      <c r="AO22" s="23">
        <v>8.34</v>
      </c>
      <c r="AP22" s="23">
        <v>8.51</v>
      </c>
      <c r="AQ22" s="23">
        <v>8.69</v>
      </c>
      <c r="AR22" s="23">
        <v>10.68</v>
      </c>
      <c r="AS22" s="23">
        <v>12.45</v>
      </c>
      <c r="AT22" s="23">
        <v>14.1</v>
      </c>
      <c r="AU22" s="23">
        <v>15.8</v>
      </c>
      <c r="AX22" s="58"/>
      <c r="AY22" s="59"/>
      <c r="AZ22" s="59"/>
      <c r="BA22" s="62"/>
      <c r="BB22" s="63"/>
      <c r="BC22" s="63"/>
      <c r="BD22" s="63"/>
      <c r="BE22" s="63"/>
      <c r="BF22" s="51" t="s">
        <v>133</v>
      </c>
      <c r="BG22" s="61">
        <v>320</v>
      </c>
      <c r="BH22" s="66"/>
    </row>
    <row r="23" ht="15.6" spans="2:60">
      <c r="B23" s="21">
        <v>21</v>
      </c>
      <c r="C23" s="22">
        <f t="shared" si="0"/>
        <v>336</v>
      </c>
      <c r="D23" s="23">
        <v>12.18</v>
      </c>
      <c r="E23" s="23">
        <v>12.18</v>
      </c>
      <c r="F23" s="23">
        <v>12.93</v>
      </c>
      <c r="G23" s="23">
        <v>13.37</v>
      </c>
      <c r="H23" s="23">
        <v>15.8</v>
      </c>
      <c r="I23" s="23">
        <v>18.89</v>
      </c>
      <c r="J23" s="23">
        <v>21.3</v>
      </c>
      <c r="K23" s="23">
        <v>23.81</v>
      </c>
      <c r="L23" s="4"/>
      <c r="M23" s="4"/>
      <c r="N23" s="21">
        <v>21</v>
      </c>
      <c r="O23" s="22">
        <f t="shared" si="1"/>
        <v>336</v>
      </c>
      <c r="P23" s="23">
        <v>11.17</v>
      </c>
      <c r="Q23" s="23">
        <v>11.17</v>
      </c>
      <c r="R23" s="23">
        <v>11.85</v>
      </c>
      <c r="S23" s="23">
        <v>12.26</v>
      </c>
      <c r="T23" s="23">
        <v>14.48</v>
      </c>
      <c r="U23" s="23">
        <v>17.32</v>
      </c>
      <c r="V23" s="23">
        <v>19.53</v>
      </c>
      <c r="W23" s="23">
        <v>21.83</v>
      </c>
      <c r="X23" s="4"/>
      <c r="Y23" s="4"/>
      <c r="Z23" s="21">
        <v>21</v>
      </c>
      <c r="AA23" s="22">
        <f t="shared" si="2"/>
        <v>336</v>
      </c>
      <c r="AB23" s="23">
        <v>10.15</v>
      </c>
      <c r="AC23" s="23">
        <v>10.15</v>
      </c>
      <c r="AD23" s="23">
        <v>10.77</v>
      </c>
      <c r="AE23" s="23">
        <v>11.14</v>
      </c>
      <c r="AF23" s="23">
        <v>13.16</v>
      </c>
      <c r="AG23" s="23">
        <v>15.74</v>
      </c>
      <c r="AH23" s="23">
        <v>17.75</v>
      </c>
      <c r="AI23" s="23">
        <v>19.84</v>
      </c>
      <c r="AJ23" s="5"/>
      <c r="AK23" s="5"/>
      <c r="AL23" s="21">
        <v>21</v>
      </c>
      <c r="AM23" s="22">
        <f t="shared" si="3"/>
        <v>336</v>
      </c>
      <c r="AN23" s="23">
        <v>8.34</v>
      </c>
      <c r="AO23" s="23">
        <v>8.34</v>
      </c>
      <c r="AP23" s="23">
        <v>8.84</v>
      </c>
      <c r="AQ23" s="23">
        <v>9.15</v>
      </c>
      <c r="AR23" s="23">
        <v>10.81</v>
      </c>
      <c r="AS23" s="23">
        <v>12.93</v>
      </c>
      <c r="AT23" s="23">
        <v>14.58</v>
      </c>
      <c r="AU23" s="23">
        <v>16.3</v>
      </c>
      <c r="AX23" s="53" t="s">
        <v>146</v>
      </c>
      <c r="AY23" s="54"/>
      <c r="AZ23" s="54"/>
      <c r="BA23" s="17" t="s">
        <v>147</v>
      </c>
      <c r="BB23" s="18"/>
      <c r="BC23" s="18"/>
      <c r="BD23" s="18"/>
      <c r="BE23" s="18"/>
      <c r="BF23" s="67">
        <v>1875</v>
      </c>
      <c r="BG23" s="68"/>
      <c r="BH23" s="36" t="s">
        <v>148</v>
      </c>
    </row>
    <row r="24" ht="15.6" spans="2:60">
      <c r="B24" s="21">
        <v>22</v>
      </c>
      <c r="C24" s="22">
        <f t="shared" si="0"/>
        <v>352</v>
      </c>
      <c r="D24" s="23">
        <v>12.18</v>
      </c>
      <c r="E24" s="23">
        <v>12.18</v>
      </c>
      <c r="F24" s="23">
        <v>13.04</v>
      </c>
      <c r="G24" s="23">
        <v>13.73</v>
      </c>
      <c r="H24" s="23">
        <v>16.35</v>
      </c>
      <c r="I24" s="23">
        <v>19.66</v>
      </c>
      <c r="J24" s="23">
        <v>22.1</v>
      </c>
      <c r="K24" s="23">
        <v>24.86</v>
      </c>
      <c r="L24" s="4"/>
      <c r="M24" s="4"/>
      <c r="N24" s="21">
        <v>22</v>
      </c>
      <c r="O24" s="22">
        <f t="shared" si="1"/>
        <v>352</v>
      </c>
      <c r="P24" s="23">
        <v>11.17</v>
      </c>
      <c r="Q24" s="23">
        <v>11.17</v>
      </c>
      <c r="R24" s="23">
        <v>11.95</v>
      </c>
      <c r="S24" s="23">
        <v>12.59</v>
      </c>
      <c r="T24" s="23">
        <v>14.99</v>
      </c>
      <c r="U24" s="23">
        <v>18.02</v>
      </c>
      <c r="V24" s="23">
        <v>20.26</v>
      </c>
      <c r="W24" s="23">
        <v>22.79</v>
      </c>
      <c r="X24" s="4"/>
      <c r="Y24" s="4"/>
      <c r="Z24" s="21">
        <v>22</v>
      </c>
      <c r="AA24" s="22">
        <f t="shared" si="2"/>
        <v>352</v>
      </c>
      <c r="AB24" s="23">
        <v>10.15</v>
      </c>
      <c r="AC24" s="23">
        <v>10.15</v>
      </c>
      <c r="AD24" s="23">
        <v>10.86</v>
      </c>
      <c r="AE24" s="23">
        <v>11.44</v>
      </c>
      <c r="AF24" s="23">
        <v>13.62</v>
      </c>
      <c r="AG24" s="23">
        <v>16.38</v>
      </c>
      <c r="AH24" s="23">
        <v>18.41</v>
      </c>
      <c r="AI24" s="23">
        <v>20.71</v>
      </c>
      <c r="AJ24" s="5"/>
      <c r="AK24" s="5"/>
      <c r="AL24" s="21">
        <v>22</v>
      </c>
      <c r="AM24" s="22">
        <f t="shared" si="3"/>
        <v>352</v>
      </c>
      <c r="AN24" s="23">
        <v>8.34</v>
      </c>
      <c r="AO24" s="23">
        <v>8.34</v>
      </c>
      <c r="AP24" s="23">
        <v>8.92</v>
      </c>
      <c r="AQ24" s="23">
        <v>9.4</v>
      </c>
      <c r="AR24" s="23">
        <v>11.19</v>
      </c>
      <c r="AS24" s="23">
        <v>13.46</v>
      </c>
      <c r="AT24" s="23">
        <v>15.12</v>
      </c>
      <c r="AU24" s="23">
        <v>17.01</v>
      </c>
      <c r="AX24" s="53" t="s">
        <v>149</v>
      </c>
      <c r="AY24" s="25"/>
      <c r="AZ24" s="25"/>
      <c r="BA24" s="17" t="s">
        <v>150</v>
      </c>
      <c r="BB24" s="18"/>
      <c r="BC24" s="18"/>
      <c r="BD24" s="18"/>
      <c r="BE24" s="18"/>
      <c r="BF24" s="69">
        <v>10.8</v>
      </c>
      <c r="BG24" s="70"/>
    </row>
    <row r="25" ht="15.6" spans="2:60">
      <c r="B25" s="21">
        <v>23</v>
      </c>
      <c r="C25" s="22">
        <f t="shared" si="0"/>
        <v>368</v>
      </c>
      <c r="D25" s="23">
        <v>12.18</v>
      </c>
      <c r="E25" s="23">
        <v>12.18</v>
      </c>
      <c r="F25" s="23">
        <v>13.29</v>
      </c>
      <c r="G25" s="23">
        <v>14.13</v>
      </c>
      <c r="H25" s="23">
        <v>16.65</v>
      </c>
      <c r="I25" s="23">
        <v>20.4</v>
      </c>
      <c r="J25" s="23">
        <v>22.64</v>
      </c>
      <c r="K25" s="23">
        <v>25.83</v>
      </c>
      <c r="L25" s="4"/>
      <c r="M25" s="4"/>
      <c r="N25" s="21">
        <v>23</v>
      </c>
      <c r="O25" s="22">
        <f t="shared" si="1"/>
        <v>368</v>
      </c>
      <c r="P25" s="23">
        <v>11.17</v>
      </c>
      <c r="Q25" s="23">
        <v>11.17</v>
      </c>
      <c r="R25" s="23">
        <v>12.18</v>
      </c>
      <c r="S25" s="23">
        <v>12.95</v>
      </c>
      <c r="T25" s="23">
        <v>15.26</v>
      </c>
      <c r="U25" s="23">
        <v>18.7</v>
      </c>
      <c r="V25" s="23">
        <v>20.75</v>
      </c>
      <c r="W25" s="23">
        <v>23.68</v>
      </c>
      <c r="X25" s="4"/>
      <c r="Y25" s="4"/>
      <c r="Z25" s="21">
        <v>23</v>
      </c>
      <c r="AA25" s="22">
        <f t="shared" si="2"/>
        <v>368</v>
      </c>
      <c r="AB25" s="23">
        <v>10.15</v>
      </c>
      <c r="AC25" s="23">
        <v>10.15</v>
      </c>
      <c r="AD25" s="23">
        <v>11.07</v>
      </c>
      <c r="AE25" s="23">
        <v>11.77</v>
      </c>
      <c r="AF25" s="23">
        <v>13.87</v>
      </c>
      <c r="AG25" s="23">
        <v>17</v>
      </c>
      <c r="AH25" s="23">
        <v>18.86</v>
      </c>
      <c r="AI25" s="23">
        <v>21.52</v>
      </c>
      <c r="AJ25" s="5"/>
      <c r="AK25" s="5"/>
      <c r="AL25" s="21">
        <v>23</v>
      </c>
      <c r="AM25" s="22">
        <f t="shared" si="3"/>
        <v>368</v>
      </c>
      <c r="AN25" s="23">
        <v>8.34</v>
      </c>
      <c r="AO25" s="23">
        <v>8.34</v>
      </c>
      <c r="AP25" s="23">
        <v>9.1</v>
      </c>
      <c r="AQ25" s="23">
        <v>9.67</v>
      </c>
      <c r="AR25" s="23">
        <v>11.4</v>
      </c>
      <c r="AS25" s="23">
        <v>13.96</v>
      </c>
      <c r="AT25" s="23">
        <v>15.49</v>
      </c>
      <c r="AU25" s="23">
        <v>17.68</v>
      </c>
      <c r="AX25" s="29"/>
      <c r="AY25" s="30"/>
      <c r="AZ25" s="30"/>
      <c r="BA25" s="17" t="s">
        <v>151</v>
      </c>
      <c r="BB25" s="18"/>
      <c r="BC25" s="18"/>
      <c r="BD25" s="18"/>
      <c r="BE25" s="18"/>
      <c r="BF25" s="69">
        <v>8.25</v>
      </c>
      <c r="BG25" s="70"/>
    </row>
    <row r="26" ht="15.6" spans="2:60">
      <c r="B26" s="21">
        <v>24</v>
      </c>
      <c r="C26" s="22">
        <f t="shared" si="0"/>
        <v>384</v>
      </c>
      <c r="D26" s="23">
        <v>12.18</v>
      </c>
      <c r="E26" s="23">
        <v>12.18</v>
      </c>
      <c r="F26" s="23">
        <v>13.83</v>
      </c>
      <c r="G26" s="23">
        <v>14.78</v>
      </c>
      <c r="H26" s="23">
        <v>17.55</v>
      </c>
      <c r="I26" s="23">
        <v>21.38</v>
      </c>
      <c r="J26" s="23">
        <v>23.39</v>
      </c>
      <c r="K26" s="23">
        <v>27.3</v>
      </c>
      <c r="L26" s="4"/>
      <c r="M26" s="4"/>
      <c r="N26" s="21">
        <v>24</v>
      </c>
      <c r="O26" s="22">
        <f t="shared" si="1"/>
        <v>384</v>
      </c>
      <c r="P26" s="23">
        <v>11.17</v>
      </c>
      <c r="Q26" s="23">
        <v>11.17</v>
      </c>
      <c r="R26" s="23">
        <v>12.68</v>
      </c>
      <c r="S26" s="23">
        <v>13.55</v>
      </c>
      <c r="T26" s="23">
        <v>16.09</v>
      </c>
      <c r="U26" s="23">
        <v>19.6</v>
      </c>
      <c r="V26" s="23">
        <v>21.44</v>
      </c>
      <c r="W26" s="23">
        <v>25.03</v>
      </c>
      <c r="X26" s="4"/>
      <c r="Y26" s="4"/>
      <c r="Z26" s="21">
        <v>24</v>
      </c>
      <c r="AA26" s="22">
        <f t="shared" si="2"/>
        <v>384</v>
      </c>
      <c r="AB26" s="23">
        <v>10.15</v>
      </c>
      <c r="AC26" s="23">
        <v>10.15</v>
      </c>
      <c r="AD26" s="23">
        <v>11.52</v>
      </c>
      <c r="AE26" s="23">
        <v>12.31</v>
      </c>
      <c r="AF26" s="23">
        <v>14.62</v>
      </c>
      <c r="AG26" s="23">
        <v>17.81</v>
      </c>
      <c r="AH26" s="23">
        <v>19.49</v>
      </c>
      <c r="AI26" s="23">
        <v>22.75</v>
      </c>
      <c r="AJ26" s="5"/>
      <c r="AK26" s="5"/>
      <c r="AL26" s="21">
        <v>24</v>
      </c>
      <c r="AM26" s="22">
        <f t="shared" si="3"/>
        <v>384</v>
      </c>
      <c r="AN26" s="23">
        <v>8.34</v>
      </c>
      <c r="AO26" s="23">
        <v>8.34</v>
      </c>
      <c r="AP26" s="23">
        <v>9.46</v>
      </c>
      <c r="AQ26" s="23">
        <v>10.11</v>
      </c>
      <c r="AR26" s="23">
        <v>12.01</v>
      </c>
      <c r="AS26" s="23">
        <v>14.63</v>
      </c>
      <c r="AT26" s="23">
        <v>16.01</v>
      </c>
      <c r="AU26" s="23">
        <v>18.69</v>
      </c>
      <c r="AX26" s="71"/>
      <c r="AY26" s="72"/>
      <c r="AZ26" s="72"/>
      <c r="BA26" s="17" t="s">
        <v>152</v>
      </c>
      <c r="BB26" s="18"/>
      <c r="BC26" s="18"/>
      <c r="BD26" s="18"/>
      <c r="BE26" s="18"/>
      <c r="BF26" s="69" t="s">
        <v>153</v>
      </c>
      <c r="BG26" s="70"/>
    </row>
    <row r="27" ht="15.6" spans="2:60">
      <c r="B27" s="21">
        <v>25</v>
      </c>
      <c r="C27" s="22">
        <f t="shared" si="0"/>
        <v>400</v>
      </c>
      <c r="D27" s="23">
        <v>12.18</v>
      </c>
      <c r="E27" s="23">
        <v>12.18</v>
      </c>
      <c r="F27" s="23">
        <v>13.88</v>
      </c>
      <c r="G27" s="23">
        <v>14.84</v>
      </c>
      <c r="H27" s="23">
        <v>17.76</v>
      </c>
      <c r="I27" s="23">
        <v>22</v>
      </c>
      <c r="J27" s="23">
        <v>24.69</v>
      </c>
      <c r="K27" s="23">
        <v>28.14</v>
      </c>
      <c r="L27" s="4"/>
      <c r="M27" s="4"/>
      <c r="N27" s="21">
        <v>25</v>
      </c>
      <c r="O27" s="22">
        <f t="shared" si="1"/>
        <v>400</v>
      </c>
      <c r="P27" s="23">
        <v>11.17</v>
      </c>
      <c r="Q27" s="23">
        <v>11.17</v>
      </c>
      <c r="R27" s="23">
        <v>12.72</v>
      </c>
      <c r="S27" s="23">
        <v>13.6</v>
      </c>
      <c r="T27" s="23">
        <v>16.28</v>
      </c>
      <c r="U27" s="23">
        <v>20.17</v>
      </c>
      <c r="V27" s="23">
        <v>22.63</v>
      </c>
      <c r="W27" s="23">
        <v>25.8</v>
      </c>
      <c r="X27" s="4"/>
      <c r="Y27" s="4"/>
      <c r="Z27" s="21">
        <v>25</v>
      </c>
      <c r="AA27" s="22">
        <f t="shared" si="2"/>
        <v>400</v>
      </c>
      <c r="AB27" s="23">
        <v>10.15</v>
      </c>
      <c r="AC27" s="23">
        <v>10.15</v>
      </c>
      <c r="AD27" s="23">
        <v>11.56</v>
      </c>
      <c r="AE27" s="23">
        <v>12.36</v>
      </c>
      <c r="AF27" s="23">
        <v>14.8</v>
      </c>
      <c r="AG27" s="23">
        <v>18.33</v>
      </c>
      <c r="AH27" s="23">
        <v>20.57</v>
      </c>
      <c r="AI27" s="23">
        <v>23.45</v>
      </c>
      <c r="AJ27" s="5"/>
      <c r="AK27" s="5"/>
      <c r="AL27" s="21">
        <v>25</v>
      </c>
      <c r="AM27" s="22">
        <f t="shared" si="3"/>
        <v>400</v>
      </c>
      <c r="AN27" s="23">
        <v>8.34</v>
      </c>
      <c r="AO27" s="23">
        <v>8.34</v>
      </c>
      <c r="AP27" s="23">
        <v>9.5</v>
      </c>
      <c r="AQ27" s="23">
        <v>10.15</v>
      </c>
      <c r="AR27" s="23">
        <v>12.16</v>
      </c>
      <c r="AS27" s="23">
        <v>15.05</v>
      </c>
      <c r="AT27" s="23">
        <v>16.89</v>
      </c>
      <c r="AU27" s="23">
        <v>19.26</v>
      </c>
      <c r="AX27" s="53" t="s">
        <v>154</v>
      </c>
      <c r="AY27" s="54"/>
      <c r="AZ27" s="54"/>
      <c r="BA27" s="17" t="s">
        <v>150</v>
      </c>
      <c r="BB27" s="18"/>
      <c r="BC27" s="18"/>
      <c r="BD27" s="18"/>
      <c r="BE27" s="18"/>
      <c r="BF27" s="69">
        <v>107</v>
      </c>
      <c r="BG27" s="70"/>
    </row>
    <row r="28" ht="15.6" spans="2:60">
      <c r="B28" s="21">
        <v>26</v>
      </c>
      <c r="C28" s="22">
        <f t="shared" si="0"/>
        <v>416</v>
      </c>
      <c r="D28" s="23">
        <v>12.45</v>
      </c>
      <c r="E28" s="23">
        <v>12.45</v>
      </c>
      <c r="F28" s="23">
        <v>14.37</v>
      </c>
      <c r="G28" s="23">
        <v>15.46</v>
      </c>
      <c r="H28" s="23">
        <v>18.48</v>
      </c>
      <c r="I28" s="23">
        <v>22.8</v>
      </c>
      <c r="J28" s="23">
        <v>25.7</v>
      </c>
      <c r="K28" s="23">
        <v>29.32</v>
      </c>
      <c r="L28" s="4"/>
      <c r="M28" s="4"/>
      <c r="N28" s="21">
        <v>26</v>
      </c>
      <c r="O28" s="22">
        <f t="shared" si="1"/>
        <v>416</v>
      </c>
      <c r="P28" s="23">
        <v>11.41</v>
      </c>
      <c r="Q28" s="23">
        <v>11.41</v>
      </c>
      <c r="R28" s="23">
        <v>13.17</v>
      </c>
      <c r="S28" s="23">
        <v>14.17</v>
      </c>
      <c r="T28" s="23">
        <v>16.94</v>
      </c>
      <c r="U28" s="23">
        <v>20.9</v>
      </c>
      <c r="V28" s="23">
        <v>23.56</v>
      </c>
      <c r="W28" s="23">
        <v>26.88</v>
      </c>
      <c r="X28" s="4"/>
      <c r="Y28" s="4"/>
      <c r="Z28" s="21">
        <v>26</v>
      </c>
      <c r="AA28" s="22">
        <f t="shared" si="2"/>
        <v>416</v>
      </c>
      <c r="AB28" s="23">
        <v>10.37</v>
      </c>
      <c r="AC28" s="23">
        <v>10.37</v>
      </c>
      <c r="AD28" s="23">
        <v>11.97</v>
      </c>
      <c r="AE28" s="23">
        <v>12.88</v>
      </c>
      <c r="AF28" s="23">
        <v>15.4</v>
      </c>
      <c r="AG28" s="23">
        <v>19</v>
      </c>
      <c r="AH28" s="23">
        <v>21.41</v>
      </c>
      <c r="AI28" s="23">
        <v>24.43</v>
      </c>
      <c r="AJ28" s="5"/>
      <c r="AK28" s="5"/>
      <c r="AL28" s="21">
        <v>26</v>
      </c>
      <c r="AM28" s="22">
        <f t="shared" si="3"/>
        <v>416</v>
      </c>
      <c r="AN28" s="23">
        <v>8.52</v>
      </c>
      <c r="AO28" s="23">
        <v>8.52</v>
      </c>
      <c r="AP28" s="23">
        <v>9.83</v>
      </c>
      <c r="AQ28" s="23">
        <v>10.58</v>
      </c>
      <c r="AR28" s="23">
        <v>12.65</v>
      </c>
      <c r="AS28" s="23">
        <v>15.61</v>
      </c>
      <c r="AT28" s="23">
        <v>17.58</v>
      </c>
      <c r="AU28" s="23">
        <v>20.07</v>
      </c>
      <c r="AX28" s="58"/>
      <c r="AY28" s="59"/>
      <c r="AZ28" s="59"/>
      <c r="BA28" s="17" t="s">
        <v>151</v>
      </c>
      <c r="BB28" s="18"/>
      <c r="BC28" s="18"/>
      <c r="BD28" s="18"/>
      <c r="BE28" s="18"/>
      <c r="BF28" s="69">
        <v>90.5</v>
      </c>
      <c r="BG28" s="70"/>
    </row>
    <row r="29" ht="15.6" spans="2:60">
      <c r="B29" s="21">
        <v>27</v>
      </c>
      <c r="C29" s="22">
        <f t="shared" si="0"/>
        <v>432</v>
      </c>
      <c r="D29" s="23">
        <v>12.81</v>
      </c>
      <c r="E29" s="23">
        <v>12.81</v>
      </c>
      <c r="F29" s="23">
        <v>14.7</v>
      </c>
      <c r="G29" s="23">
        <v>15.76</v>
      </c>
      <c r="H29" s="23">
        <v>18.78</v>
      </c>
      <c r="I29" s="23">
        <v>23.7</v>
      </c>
      <c r="J29" s="23">
        <v>26.16</v>
      </c>
      <c r="K29" s="23">
        <v>29.81</v>
      </c>
      <c r="L29" s="4"/>
      <c r="M29" s="4"/>
      <c r="N29" s="21">
        <v>27</v>
      </c>
      <c r="O29" s="22">
        <f t="shared" si="1"/>
        <v>432</v>
      </c>
      <c r="P29" s="23">
        <v>11.74</v>
      </c>
      <c r="Q29" s="23">
        <v>11.74</v>
      </c>
      <c r="R29" s="23">
        <v>13.48</v>
      </c>
      <c r="S29" s="23">
        <v>14.45</v>
      </c>
      <c r="T29" s="23">
        <v>17.22</v>
      </c>
      <c r="U29" s="23">
        <v>21.73</v>
      </c>
      <c r="V29" s="23">
        <v>23.98</v>
      </c>
      <c r="W29" s="23">
        <v>27.33</v>
      </c>
      <c r="X29" s="4"/>
      <c r="Y29" s="4"/>
      <c r="Z29" s="21">
        <v>27</v>
      </c>
      <c r="AA29" s="22">
        <f t="shared" si="2"/>
        <v>432</v>
      </c>
      <c r="AB29" s="23">
        <v>10.67</v>
      </c>
      <c r="AC29" s="23">
        <v>10.67</v>
      </c>
      <c r="AD29" s="23">
        <v>12.25</v>
      </c>
      <c r="AE29" s="23">
        <v>13.13</v>
      </c>
      <c r="AF29" s="23">
        <v>15.65</v>
      </c>
      <c r="AG29" s="23">
        <v>19.75</v>
      </c>
      <c r="AH29" s="23">
        <v>21.8</v>
      </c>
      <c r="AI29" s="23">
        <v>24.84</v>
      </c>
      <c r="AJ29" s="5"/>
      <c r="AK29" s="5"/>
      <c r="AL29" s="21">
        <v>27</v>
      </c>
      <c r="AM29" s="22">
        <f t="shared" si="3"/>
        <v>432</v>
      </c>
      <c r="AN29" s="23">
        <v>8.76</v>
      </c>
      <c r="AO29" s="23">
        <v>8.76</v>
      </c>
      <c r="AP29" s="23">
        <v>10.06</v>
      </c>
      <c r="AQ29" s="23">
        <v>10.79</v>
      </c>
      <c r="AR29" s="23">
        <v>12.86</v>
      </c>
      <c r="AS29" s="23">
        <v>16.23</v>
      </c>
      <c r="AT29" s="23">
        <v>17.91</v>
      </c>
      <c r="AU29" s="23">
        <v>20.4</v>
      </c>
      <c r="AX29" s="73"/>
      <c r="AY29" s="74"/>
      <c r="AZ29" s="74"/>
      <c r="BA29" s="17" t="s">
        <v>152</v>
      </c>
      <c r="BB29" s="18"/>
      <c r="BC29" s="18"/>
      <c r="BD29" s="18"/>
      <c r="BE29" s="18"/>
      <c r="BF29" s="69" t="s">
        <v>153</v>
      </c>
      <c r="BG29" s="70"/>
    </row>
    <row r="30" ht="15.6" spans="2:60">
      <c r="B30" s="21">
        <v>28</v>
      </c>
      <c r="C30" s="22">
        <f t="shared" si="0"/>
        <v>448</v>
      </c>
      <c r="D30" s="23">
        <v>13.11</v>
      </c>
      <c r="E30" s="23">
        <v>13.11</v>
      </c>
      <c r="F30" s="23">
        <v>15.05</v>
      </c>
      <c r="G30" s="23">
        <v>16.48</v>
      </c>
      <c r="H30" s="23">
        <v>20</v>
      </c>
      <c r="I30" s="23">
        <v>24.87</v>
      </c>
      <c r="J30" s="23">
        <v>27.34</v>
      </c>
      <c r="K30" s="23">
        <v>30.95</v>
      </c>
      <c r="L30" s="4"/>
      <c r="M30" s="4"/>
      <c r="N30" s="21">
        <v>28</v>
      </c>
      <c r="O30" s="22">
        <f t="shared" si="1"/>
        <v>448</v>
      </c>
      <c r="P30" s="23">
        <v>12.02</v>
      </c>
      <c r="Q30" s="23">
        <v>12.02</v>
      </c>
      <c r="R30" s="23">
        <v>13.8</v>
      </c>
      <c r="S30" s="23">
        <v>15.11</v>
      </c>
      <c r="T30" s="23">
        <v>18.33</v>
      </c>
      <c r="U30" s="23">
        <v>22.8</v>
      </c>
      <c r="V30" s="23">
        <v>25.06</v>
      </c>
      <c r="W30" s="23">
        <v>28.37</v>
      </c>
      <c r="X30" s="4"/>
      <c r="Y30" s="4"/>
      <c r="Z30" s="21">
        <v>28</v>
      </c>
      <c r="AA30" s="22">
        <f t="shared" si="2"/>
        <v>448</v>
      </c>
      <c r="AB30" s="23">
        <v>10.92</v>
      </c>
      <c r="AC30" s="23">
        <v>10.92</v>
      </c>
      <c r="AD30" s="23">
        <v>12.54</v>
      </c>
      <c r="AE30" s="23">
        <v>13.73</v>
      </c>
      <c r="AF30" s="23">
        <v>16.66</v>
      </c>
      <c r="AG30" s="23">
        <v>20.72</v>
      </c>
      <c r="AH30" s="23">
        <v>22.78</v>
      </c>
      <c r="AI30" s="23">
        <v>25.79</v>
      </c>
      <c r="AJ30" s="5"/>
      <c r="AK30" s="5"/>
      <c r="AL30" s="21">
        <v>28</v>
      </c>
      <c r="AM30" s="22">
        <f t="shared" si="3"/>
        <v>448</v>
      </c>
      <c r="AN30" s="23">
        <v>8.97</v>
      </c>
      <c r="AO30" s="23">
        <v>8.97</v>
      </c>
      <c r="AP30" s="23">
        <v>10.3</v>
      </c>
      <c r="AQ30" s="23">
        <v>11.28</v>
      </c>
      <c r="AR30" s="23">
        <v>13.69</v>
      </c>
      <c r="AS30" s="23">
        <v>17.02</v>
      </c>
      <c r="AT30" s="23">
        <v>18.71</v>
      </c>
      <c r="AU30" s="23">
        <v>21.18</v>
      </c>
      <c r="AX30" s="24" t="s">
        <v>155</v>
      </c>
      <c r="AY30" s="25"/>
      <c r="AZ30" s="25"/>
      <c r="BA30" s="17" t="s">
        <v>150</v>
      </c>
      <c r="BB30" s="18"/>
      <c r="BC30" s="18"/>
      <c r="BD30" s="18"/>
      <c r="BE30" s="18"/>
      <c r="BF30" s="69">
        <v>540</v>
      </c>
      <c r="BG30" s="70"/>
    </row>
    <row r="31" ht="15.6" spans="2:60">
      <c r="B31" s="21">
        <v>29</v>
      </c>
      <c r="C31" s="22">
        <f t="shared" si="0"/>
        <v>464</v>
      </c>
      <c r="D31" s="23">
        <v>13.14</v>
      </c>
      <c r="E31" s="23">
        <v>13.14</v>
      </c>
      <c r="F31" s="23">
        <v>15.34</v>
      </c>
      <c r="G31" s="23">
        <v>16.76</v>
      </c>
      <c r="H31" s="23">
        <v>20.03</v>
      </c>
      <c r="I31" s="23">
        <v>25.58</v>
      </c>
      <c r="J31" s="23">
        <v>27.96</v>
      </c>
      <c r="K31" s="23">
        <v>31.77</v>
      </c>
      <c r="L31" s="4"/>
      <c r="M31" s="4"/>
      <c r="N31" s="21">
        <v>29</v>
      </c>
      <c r="O31" s="22">
        <f t="shared" si="1"/>
        <v>464</v>
      </c>
      <c r="P31" s="23">
        <v>12.05</v>
      </c>
      <c r="Q31" s="23">
        <v>12.05</v>
      </c>
      <c r="R31" s="23">
        <v>14.06</v>
      </c>
      <c r="S31" s="23">
        <v>15.36</v>
      </c>
      <c r="T31" s="23">
        <v>18.36</v>
      </c>
      <c r="U31" s="23">
        <v>23.45</v>
      </c>
      <c r="V31" s="23">
        <v>25.63</v>
      </c>
      <c r="W31" s="23">
        <v>29.12</v>
      </c>
      <c r="X31" s="4"/>
      <c r="Y31" s="4"/>
      <c r="Z31" s="21">
        <v>29</v>
      </c>
      <c r="AA31" s="22">
        <f t="shared" si="2"/>
        <v>464</v>
      </c>
      <c r="AB31" s="23">
        <v>10.95</v>
      </c>
      <c r="AC31" s="23">
        <v>10.95</v>
      </c>
      <c r="AD31" s="23">
        <v>12.78</v>
      </c>
      <c r="AE31" s="23">
        <v>13.96</v>
      </c>
      <c r="AF31" s="23">
        <v>16.69</v>
      </c>
      <c r="AG31" s="23">
        <v>21.31</v>
      </c>
      <c r="AH31" s="23">
        <v>23.3</v>
      </c>
      <c r="AI31" s="23">
        <v>26.47</v>
      </c>
      <c r="AJ31" s="5"/>
      <c r="AK31" s="5"/>
      <c r="AL31" s="21">
        <v>29</v>
      </c>
      <c r="AM31" s="22">
        <f t="shared" si="3"/>
        <v>464</v>
      </c>
      <c r="AN31" s="23">
        <v>8.99</v>
      </c>
      <c r="AO31" s="23">
        <v>8.99</v>
      </c>
      <c r="AP31" s="23">
        <v>10.5</v>
      </c>
      <c r="AQ31" s="23">
        <v>11.47</v>
      </c>
      <c r="AR31" s="23">
        <v>13.71</v>
      </c>
      <c r="AS31" s="23">
        <v>17.5</v>
      </c>
      <c r="AT31" s="23">
        <v>19.14</v>
      </c>
      <c r="AU31" s="23">
        <v>21.75</v>
      </c>
      <c r="AX31" s="29"/>
      <c r="AY31" s="30"/>
      <c r="AZ31" s="30"/>
      <c r="BA31" s="17" t="s">
        <v>151</v>
      </c>
      <c r="BB31" s="18"/>
      <c r="BC31" s="18"/>
      <c r="BD31" s="18"/>
      <c r="BE31" s="18"/>
      <c r="BF31" s="69">
        <v>485</v>
      </c>
      <c r="BG31" s="70"/>
    </row>
    <row r="32" ht="15.6" spans="2:60">
      <c r="B32" s="21">
        <v>30</v>
      </c>
      <c r="C32" s="22">
        <f t="shared" si="0"/>
        <v>480</v>
      </c>
      <c r="D32" s="23">
        <v>13.36</v>
      </c>
      <c r="E32" s="23">
        <v>13.36</v>
      </c>
      <c r="F32" s="23">
        <v>15.71</v>
      </c>
      <c r="G32" s="23">
        <v>17.39</v>
      </c>
      <c r="H32" s="23">
        <v>20.82</v>
      </c>
      <c r="I32" s="23">
        <v>26</v>
      </c>
      <c r="J32" s="23">
        <v>28.1</v>
      </c>
      <c r="K32" s="23">
        <v>33.1</v>
      </c>
      <c r="L32" s="4"/>
      <c r="M32" s="4"/>
      <c r="N32" s="21">
        <v>30</v>
      </c>
      <c r="O32" s="22">
        <f t="shared" si="1"/>
        <v>480</v>
      </c>
      <c r="P32" s="23">
        <v>12.25</v>
      </c>
      <c r="Q32" s="23">
        <v>12.25</v>
      </c>
      <c r="R32" s="23">
        <v>14.4</v>
      </c>
      <c r="S32" s="23">
        <v>15.94</v>
      </c>
      <c r="T32" s="23">
        <v>19.09</v>
      </c>
      <c r="U32" s="23">
        <v>23.83</v>
      </c>
      <c r="V32" s="23">
        <v>25.76</v>
      </c>
      <c r="W32" s="23">
        <v>30.34</v>
      </c>
      <c r="X32" s="4"/>
      <c r="Y32" s="4"/>
      <c r="Z32" s="21">
        <v>30</v>
      </c>
      <c r="AA32" s="22">
        <f t="shared" si="2"/>
        <v>480</v>
      </c>
      <c r="AB32" s="23">
        <v>11.13</v>
      </c>
      <c r="AC32" s="23">
        <v>11.13</v>
      </c>
      <c r="AD32" s="23">
        <v>13.09</v>
      </c>
      <c r="AE32" s="23">
        <v>14.49</v>
      </c>
      <c r="AF32" s="23">
        <v>17.35</v>
      </c>
      <c r="AG32" s="23">
        <v>21.66</v>
      </c>
      <c r="AH32" s="23">
        <v>23.41</v>
      </c>
      <c r="AI32" s="23">
        <v>27.58</v>
      </c>
      <c r="AJ32" s="5"/>
      <c r="AK32" s="5"/>
      <c r="AL32" s="21">
        <v>30</v>
      </c>
      <c r="AM32" s="22">
        <f t="shared" si="3"/>
        <v>480</v>
      </c>
      <c r="AN32" s="23">
        <v>9.14</v>
      </c>
      <c r="AO32" s="23">
        <v>9.14</v>
      </c>
      <c r="AP32" s="23">
        <v>10.75</v>
      </c>
      <c r="AQ32" s="23">
        <v>11.9</v>
      </c>
      <c r="AR32" s="23">
        <v>14.25</v>
      </c>
      <c r="AS32" s="23">
        <v>17.79</v>
      </c>
      <c r="AT32" s="23">
        <v>19.23</v>
      </c>
      <c r="AU32" s="23">
        <v>22.66</v>
      </c>
      <c r="AX32" s="71"/>
      <c r="AY32" s="72"/>
      <c r="AZ32" s="72"/>
      <c r="BA32" s="17" t="s">
        <v>152</v>
      </c>
      <c r="BB32" s="18"/>
      <c r="BC32" s="18"/>
      <c r="BD32" s="18"/>
      <c r="BE32" s="18"/>
      <c r="BF32" s="69" t="s">
        <v>153</v>
      </c>
      <c r="BG32" s="70"/>
    </row>
    <row r="33" ht="15.6" spans="2:60">
      <c r="B33" s="21">
        <v>31</v>
      </c>
      <c r="C33" s="22">
        <f t="shared" si="0"/>
        <v>496</v>
      </c>
      <c r="D33" s="23">
        <v>13.86</v>
      </c>
      <c r="E33" s="23">
        <v>13.86</v>
      </c>
      <c r="F33" s="23">
        <v>16.08</v>
      </c>
      <c r="G33" s="23">
        <v>17.64</v>
      </c>
      <c r="H33" s="23">
        <v>20.97</v>
      </c>
      <c r="I33" s="23">
        <v>26.62</v>
      </c>
      <c r="J33" s="23">
        <v>29.14</v>
      </c>
      <c r="K33" s="23">
        <v>34.14</v>
      </c>
      <c r="L33" s="4"/>
      <c r="M33" s="4"/>
      <c r="N33" s="21">
        <v>31</v>
      </c>
      <c r="O33" s="22">
        <f t="shared" si="1"/>
        <v>496</v>
      </c>
      <c r="P33" s="23">
        <v>12.71</v>
      </c>
      <c r="Q33" s="23">
        <v>12.71</v>
      </c>
      <c r="R33" s="23">
        <v>14.74</v>
      </c>
      <c r="S33" s="23">
        <v>16.17</v>
      </c>
      <c r="T33" s="23">
        <v>19.22</v>
      </c>
      <c r="U33" s="23">
        <v>24.4</v>
      </c>
      <c r="V33" s="23">
        <v>26.71</v>
      </c>
      <c r="W33" s="23">
        <v>31.3</v>
      </c>
      <c r="X33" s="4"/>
      <c r="Y33" s="4"/>
      <c r="Z33" s="21">
        <v>31</v>
      </c>
      <c r="AA33" s="22">
        <f t="shared" si="2"/>
        <v>496</v>
      </c>
      <c r="AB33" s="23">
        <v>11.55</v>
      </c>
      <c r="AC33" s="23">
        <v>11.55</v>
      </c>
      <c r="AD33" s="23">
        <v>13.4</v>
      </c>
      <c r="AE33" s="23">
        <v>14.7</v>
      </c>
      <c r="AF33" s="23">
        <v>17.47</v>
      </c>
      <c r="AG33" s="23">
        <v>22.18</v>
      </c>
      <c r="AH33" s="23">
        <v>24.28</v>
      </c>
      <c r="AI33" s="23">
        <v>28.45</v>
      </c>
      <c r="AJ33" s="5"/>
      <c r="AK33" s="5"/>
      <c r="AL33" s="21">
        <v>31</v>
      </c>
      <c r="AM33" s="22">
        <f t="shared" si="3"/>
        <v>496</v>
      </c>
      <c r="AN33" s="23">
        <v>9.49</v>
      </c>
      <c r="AO33" s="23">
        <v>9.49</v>
      </c>
      <c r="AP33" s="23">
        <v>11.01</v>
      </c>
      <c r="AQ33" s="23">
        <v>12.08</v>
      </c>
      <c r="AR33" s="23">
        <v>14.35</v>
      </c>
      <c r="AS33" s="23">
        <v>18.22</v>
      </c>
      <c r="AT33" s="23">
        <v>19.94</v>
      </c>
      <c r="AU33" s="23">
        <v>23.37</v>
      </c>
      <c r="AX33" s="15" t="s">
        <v>106</v>
      </c>
      <c r="AY33" s="16"/>
      <c r="AZ33" s="16"/>
      <c r="BA33" s="33" t="s">
        <v>107</v>
      </c>
      <c r="BB33" s="26"/>
      <c r="BC33" s="26"/>
      <c r="BD33" s="26"/>
      <c r="BE33" s="26"/>
      <c r="BF33" s="61">
        <v>25.5</v>
      </c>
      <c r="BG33" s="75"/>
      <c r="BH33" s="36" t="s">
        <v>156</v>
      </c>
    </row>
    <row r="34" ht="15.6" spans="2:60">
      <c r="B34" s="21">
        <v>32</v>
      </c>
      <c r="C34" s="22">
        <f t="shared" si="0"/>
        <v>512</v>
      </c>
      <c r="D34" s="23">
        <v>13.86</v>
      </c>
      <c r="E34" s="23">
        <v>13.86</v>
      </c>
      <c r="F34" s="23">
        <v>16.1</v>
      </c>
      <c r="G34" s="23">
        <v>17.66</v>
      </c>
      <c r="H34" s="23">
        <v>20.99</v>
      </c>
      <c r="I34" s="23">
        <v>26.75</v>
      </c>
      <c r="J34" s="23">
        <v>29.15</v>
      </c>
      <c r="K34" s="23">
        <v>34.53</v>
      </c>
      <c r="L34" s="4"/>
      <c r="M34" s="4"/>
      <c r="N34" s="21">
        <v>32</v>
      </c>
      <c r="O34" s="22">
        <f t="shared" si="1"/>
        <v>512</v>
      </c>
      <c r="P34" s="23">
        <v>12.71</v>
      </c>
      <c r="Q34" s="23">
        <v>12.71</v>
      </c>
      <c r="R34" s="23">
        <v>14.76</v>
      </c>
      <c r="S34" s="23">
        <v>16.19</v>
      </c>
      <c r="T34" s="23">
        <v>19.24</v>
      </c>
      <c r="U34" s="23">
        <v>24.52</v>
      </c>
      <c r="V34" s="23">
        <v>26.72</v>
      </c>
      <c r="W34" s="23">
        <v>31.65</v>
      </c>
      <c r="X34" s="4"/>
      <c r="Y34" s="4"/>
      <c r="Z34" s="21">
        <v>32</v>
      </c>
      <c r="AA34" s="22">
        <f t="shared" si="2"/>
        <v>512</v>
      </c>
      <c r="AB34" s="23">
        <v>11.55</v>
      </c>
      <c r="AC34" s="23">
        <v>11.55</v>
      </c>
      <c r="AD34" s="23">
        <v>13.41</v>
      </c>
      <c r="AE34" s="23">
        <v>14.71</v>
      </c>
      <c r="AF34" s="23">
        <v>17.49</v>
      </c>
      <c r="AG34" s="23">
        <v>22.29</v>
      </c>
      <c r="AH34" s="23">
        <v>24.29</v>
      </c>
      <c r="AI34" s="23">
        <v>28.77</v>
      </c>
      <c r="AJ34" s="5"/>
      <c r="AK34" s="5"/>
      <c r="AL34" s="21">
        <v>32</v>
      </c>
      <c r="AM34" s="22">
        <f t="shared" si="3"/>
        <v>512</v>
      </c>
      <c r="AN34" s="23">
        <v>9.49</v>
      </c>
      <c r="AO34" s="23">
        <v>9.49</v>
      </c>
      <c r="AP34" s="23">
        <v>11.02</v>
      </c>
      <c r="AQ34" s="23">
        <v>12.09</v>
      </c>
      <c r="AR34" s="23">
        <v>14.36</v>
      </c>
      <c r="AS34" s="23">
        <v>18.31</v>
      </c>
      <c r="AT34" s="23">
        <v>19.95</v>
      </c>
      <c r="AU34" s="23">
        <v>23.63</v>
      </c>
      <c r="AX34" s="24" t="s">
        <v>157</v>
      </c>
      <c r="AY34" s="25"/>
      <c r="AZ34" s="25"/>
      <c r="BA34" s="17" t="s">
        <v>150</v>
      </c>
      <c r="BB34" s="18"/>
      <c r="BC34" s="18"/>
      <c r="BD34" s="18"/>
      <c r="BE34" s="18"/>
      <c r="BF34" s="69">
        <v>0.6</v>
      </c>
      <c r="BG34" s="70"/>
    </row>
    <row r="35" ht="15.6" spans="2:60">
      <c r="B35" s="21">
        <v>33</v>
      </c>
      <c r="C35" s="22">
        <f t="shared" si="0"/>
        <v>528</v>
      </c>
      <c r="D35" s="23">
        <v>13.95</v>
      </c>
      <c r="E35" s="23">
        <v>13.95</v>
      </c>
      <c r="F35" s="23">
        <v>16.34</v>
      </c>
      <c r="G35" s="23">
        <v>18.45</v>
      </c>
      <c r="H35" s="23">
        <v>21.98</v>
      </c>
      <c r="I35" s="23">
        <v>28.3</v>
      </c>
      <c r="J35" s="23">
        <v>30.11</v>
      </c>
      <c r="K35" s="23">
        <v>35.45</v>
      </c>
      <c r="L35" s="4"/>
      <c r="M35" s="4"/>
      <c r="N35" s="21">
        <v>33</v>
      </c>
      <c r="O35" s="22">
        <f t="shared" si="1"/>
        <v>528</v>
      </c>
      <c r="P35" s="23">
        <v>12.79</v>
      </c>
      <c r="Q35" s="23">
        <v>12.79</v>
      </c>
      <c r="R35" s="23">
        <v>14.98</v>
      </c>
      <c r="S35" s="23">
        <v>16.91</v>
      </c>
      <c r="T35" s="23">
        <v>20.15</v>
      </c>
      <c r="U35" s="23">
        <v>25.94</v>
      </c>
      <c r="V35" s="23">
        <v>27.6</v>
      </c>
      <c r="W35" s="23">
        <v>32.5</v>
      </c>
      <c r="X35" s="4"/>
      <c r="Y35" s="4"/>
      <c r="Z35" s="21">
        <v>33</v>
      </c>
      <c r="AA35" s="22">
        <f t="shared" si="2"/>
        <v>528</v>
      </c>
      <c r="AB35" s="23">
        <v>11.62</v>
      </c>
      <c r="AC35" s="23">
        <v>11.62</v>
      </c>
      <c r="AD35" s="23">
        <v>13.61</v>
      </c>
      <c r="AE35" s="23">
        <v>15.37</v>
      </c>
      <c r="AF35" s="23">
        <v>18.31</v>
      </c>
      <c r="AG35" s="23">
        <v>23.58</v>
      </c>
      <c r="AH35" s="23">
        <v>25.09</v>
      </c>
      <c r="AI35" s="23">
        <v>29.54</v>
      </c>
      <c r="AJ35" s="5"/>
      <c r="AK35" s="5"/>
      <c r="AL35" s="21">
        <v>33</v>
      </c>
      <c r="AM35" s="22">
        <f t="shared" si="3"/>
        <v>528</v>
      </c>
      <c r="AN35" s="23">
        <v>9.55</v>
      </c>
      <c r="AO35" s="23">
        <v>9.55</v>
      </c>
      <c r="AP35" s="23">
        <v>11.18</v>
      </c>
      <c r="AQ35" s="23">
        <v>12.63</v>
      </c>
      <c r="AR35" s="23">
        <v>15.04</v>
      </c>
      <c r="AS35" s="23">
        <v>19.37</v>
      </c>
      <c r="AT35" s="23">
        <v>20.61</v>
      </c>
      <c r="AU35" s="23">
        <v>24.27</v>
      </c>
      <c r="AX35" s="29"/>
      <c r="AY35" s="30"/>
      <c r="AZ35" s="30"/>
      <c r="BA35" s="17" t="s">
        <v>151</v>
      </c>
      <c r="BB35" s="18"/>
      <c r="BC35" s="18"/>
      <c r="BD35" s="18"/>
      <c r="BE35" s="18"/>
      <c r="BF35" s="69">
        <v>0.4</v>
      </c>
      <c r="BG35" s="70"/>
    </row>
    <row r="36" ht="15.6" spans="2:60">
      <c r="B36" s="21">
        <v>34</v>
      </c>
      <c r="C36" s="22">
        <f t="shared" si="0"/>
        <v>544</v>
      </c>
      <c r="D36" s="23">
        <v>14.03</v>
      </c>
      <c r="E36" s="23">
        <v>14.03</v>
      </c>
      <c r="F36" s="23">
        <v>16.68</v>
      </c>
      <c r="G36" s="23">
        <v>19.04</v>
      </c>
      <c r="H36" s="23">
        <v>22.73</v>
      </c>
      <c r="I36" s="23">
        <v>28.44</v>
      </c>
      <c r="J36" s="23">
        <v>31</v>
      </c>
      <c r="K36" s="23">
        <v>37.14</v>
      </c>
      <c r="L36" s="4"/>
      <c r="M36" s="4"/>
      <c r="N36" s="21">
        <v>34</v>
      </c>
      <c r="O36" s="22">
        <f t="shared" si="1"/>
        <v>544</v>
      </c>
      <c r="P36" s="23">
        <v>12.86</v>
      </c>
      <c r="Q36" s="23">
        <v>12.86</v>
      </c>
      <c r="R36" s="23">
        <v>15.29</v>
      </c>
      <c r="S36" s="23">
        <v>17.45</v>
      </c>
      <c r="T36" s="23">
        <v>20.84</v>
      </c>
      <c r="U36" s="23">
        <v>26.07</v>
      </c>
      <c r="V36" s="23">
        <v>28.42</v>
      </c>
      <c r="W36" s="23">
        <v>34.05</v>
      </c>
      <c r="X36" s="4"/>
      <c r="Y36" s="4"/>
      <c r="Z36" s="21">
        <v>34</v>
      </c>
      <c r="AA36" s="22">
        <f t="shared" si="2"/>
        <v>544</v>
      </c>
      <c r="AB36" s="23">
        <v>11.69</v>
      </c>
      <c r="AC36" s="23">
        <v>11.69</v>
      </c>
      <c r="AD36" s="23">
        <v>13.9</v>
      </c>
      <c r="AE36" s="23">
        <v>15.86</v>
      </c>
      <c r="AF36" s="23">
        <v>18.94</v>
      </c>
      <c r="AG36" s="23">
        <v>23.7</v>
      </c>
      <c r="AH36" s="23">
        <v>25.83</v>
      </c>
      <c r="AI36" s="23">
        <v>30.95</v>
      </c>
      <c r="AJ36" s="5"/>
      <c r="AK36" s="5"/>
      <c r="AL36" s="21">
        <v>34</v>
      </c>
      <c r="AM36" s="22">
        <f t="shared" si="3"/>
        <v>544</v>
      </c>
      <c r="AN36" s="23">
        <v>9.6</v>
      </c>
      <c r="AO36" s="23">
        <v>9.6</v>
      </c>
      <c r="AP36" s="23">
        <v>11.42</v>
      </c>
      <c r="AQ36" s="23">
        <v>13.03</v>
      </c>
      <c r="AR36" s="23">
        <v>15.56</v>
      </c>
      <c r="AS36" s="23">
        <v>19.47</v>
      </c>
      <c r="AT36" s="23">
        <v>21.22</v>
      </c>
      <c r="AU36" s="23">
        <v>25.43</v>
      </c>
      <c r="AX36" s="71"/>
      <c r="AY36" s="72"/>
      <c r="AZ36" s="72"/>
      <c r="BA36" s="17" t="s">
        <v>152</v>
      </c>
      <c r="BB36" s="18"/>
      <c r="BC36" s="18"/>
      <c r="BD36" s="18"/>
      <c r="BE36" s="18"/>
      <c r="BF36" s="69" t="s">
        <v>153</v>
      </c>
      <c r="BG36" s="70"/>
    </row>
    <row r="37" ht="15.6" spans="2:60">
      <c r="B37" s="21">
        <v>35</v>
      </c>
      <c r="C37" s="22">
        <f t="shared" si="0"/>
        <v>560</v>
      </c>
      <c r="D37" s="23">
        <v>14.28</v>
      </c>
      <c r="E37" s="23">
        <v>14.28</v>
      </c>
      <c r="F37" s="23">
        <v>17.57</v>
      </c>
      <c r="G37" s="23">
        <v>19.66</v>
      </c>
      <c r="H37" s="23">
        <v>23.28</v>
      </c>
      <c r="I37" s="23">
        <v>28.94</v>
      </c>
      <c r="J37" s="23">
        <v>31.8</v>
      </c>
      <c r="K37" s="23">
        <v>37.42</v>
      </c>
      <c r="L37" s="4"/>
      <c r="M37" s="4"/>
      <c r="N37" s="21">
        <v>35</v>
      </c>
      <c r="O37" s="22">
        <f t="shared" si="1"/>
        <v>560</v>
      </c>
      <c r="P37" s="23">
        <v>13.09</v>
      </c>
      <c r="Q37" s="23">
        <v>13.09</v>
      </c>
      <c r="R37" s="23">
        <v>16.11</v>
      </c>
      <c r="S37" s="23">
        <v>18.02</v>
      </c>
      <c r="T37" s="23">
        <v>21.34</v>
      </c>
      <c r="U37" s="23">
        <v>26.53</v>
      </c>
      <c r="V37" s="23">
        <v>29.15</v>
      </c>
      <c r="W37" s="23">
        <v>34.3</v>
      </c>
      <c r="X37" s="4"/>
      <c r="Y37" s="4"/>
      <c r="Z37" s="21">
        <v>35</v>
      </c>
      <c r="AA37" s="22">
        <f t="shared" si="2"/>
        <v>560</v>
      </c>
      <c r="AB37" s="23">
        <v>11.9</v>
      </c>
      <c r="AC37" s="23">
        <v>11.9</v>
      </c>
      <c r="AD37" s="23">
        <v>14.64</v>
      </c>
      <c r="AE37" s="23">
        <v>16.38</v>
      </c>
      <c r="AF37" s="23">
        <v>19.4</v>
      </c>
      <c r="AG37" s="23">
        <v>24.11</v>
      </c>
      <c r="AH37" s="23">
        <v>26.5</v>
      </c>
      <c r="AI37" s="23">
        <v>31.18</v>
      </c>
      <c r="AJ37" s="5"/>
      <c r="AK37" s="5"/>
      <c r="AL37" s="21">
        <v>35</v>
      </c>
      <c r="AM37" s="22">
        <f t="shared" si="3"/>
        <v>560</v>
      </c>
      <c r="AN37" s="23">
        <v>9.78</v>
      </c>
      <c r="AO37" s="23">
        <v>9.78</v>
      </c>
      <c r="AP37" s="23">
        <v>12.03</v>
      </c>
      <c r="AQ37" s="23">
        <v>13.46</v>
      </c>
      <c r="AR37" s="23">
        <v>15.94</v>
      </c>
      <c r="AS37" s="23">
        <v>19.8</v>
      </c>
      <c r="AT37" s="23">
        <v>21.77</v>
      </c>
      <c r="AU37" s="23">
        <v>25.61</v>
      </c>
      <c r="AX37" s="15" t="s">
        <v>158</v>
      </c>
      <c r="AY37" s="16"/>
      <c r="AZ37" s="16"/>
      <c r="BA37" s="76" t="s">
        <v>159</v>
      </c>
      <c r="BB37" s="77"/>
      <c r="BC37" s="77"/>
      <c r="BD37" s="77"/>
      <c r="BE37" s="77"/>
      <c r="BF37" s="78" t="s">
        <v>94</v>
      </c>
      <c r="BG37" s="79"/>
    </row>
    <row r="38" ht="15.6" spans="2:60">
      <c r="B38" s="21">
        <v>36</v>
      </c>
      <c r="C38" s="22">
        <f t="shared" si="0"/>
        <v>576</v>
      </c>
      <c r="D38" s="23">
        <v>14.52</v>
      </c>
      <c r="E38" s="23">
        <v>14.52</v>
      </c>
      <c r="F38" s="23">
        <v>17.6</v>
      </c>
      <c r="G38" s="23">
        <v>19.82</v>
      </c>
      <c r="H38" s="23">
        <v>23.99</v>
      </c>
      <c r="I38" s="23">
        <v>30.15</v>
      </c>
      <c r="J38" s="23">
        <v>32.88</v>
      </c>
      <c r="K38" s="23">
        <v>38.9</v>
      </c>
      <c r="L38" s="4"/>
      <c r="M38" s="4"/>
      <c r="N38" s="21">
        <v>36</v>
      </c>
      <c r="O38" s="22">
        <f t="shared" si="1"/>
        <v>576</v>
      </c>
      <c r="P38" s="23">
        <v>13.31</v>
      </c>
      <c r="Q38" s="23">
        <v>13.31</v>
      </c>
      <c r="R38" s="23">
        <v>16.13</v>
      </c>
      <c r="S38" s="23">
        <v>18.17</v>
      </c>
      <c r="T38" s="23">
        <v>21.99</v>
      </c>
      <c r="U38" s="23">
        <v>27.64</v>
      </c>
      <c r="V38" s="23">
        <v>30.14</v>
      </c>
      <c r="W38" s="23">
        <v>35.66</v>
      </c>
      <c r="X38" s="4"/>
      <c r="Y38" s="4"/>
      <c r="Z38" s="21">
        <v>36</v>
      </c>
      <c r="AA38" s="22">
        <f t="shared" si="2"/>
        <v>576</v>
      </c>
      <c r="AB38" s="23">
        <v>12.1</v>
      </c>
      <c r="AC38" s="23">
        <v>12.1</v>
      </c>
      <c r="AD38" s="23">
        <v>14.66</v>
      </c>
      <c r="AE38" s="23">
        <v>16.51</v>
      </c>
      <c r="AF38" s="23">
        <v>19.99</v>
      </c>
      <c r="AG38" s="23">
        <v>25.12</v>
      </c>
      <c r="AH38" s="23">
        <v>27.4</v>
      </c>
      <c r="AI38" s="23">
        <v>32.41</v>
      </c>
      <c r="AJ38" s="5"/>
      <c r="AK38" s="5"/>
      <c r="AL38" s="21">
        <v>36</v>
      </c>
      <c r="AM38" s="22">
        <f t="shared" si="3"/>
        <v>576</v>
      </c>
      <c r="AN38" s="23">
        <v>9.94</v>
      </c>
      <c r="AO38" s="23">
        <v>9.94</v>
      </c>
      <c r="AP38" s="23">
        <v>12.04</v>
      </c>
      <c r="AQ38" s="23">
        <v>13.56</v>
      </c>
      <c r="AR38" s="23">
        <v>16.42</v>
      </c>
      <c r="AS38" s="23">
        <v>20.63</v>
      </c>
      <c r="AT38" s="23">
        <v>22.51</v>
      </c>
      <c r="AU38" s="23">
        <v>26.62</v>
      </c>
      <c r="AX38" s="15" t="s">
        <v>160</v>
      </c>
      <c r="AY38" s="16"/>
      <c r="AZ38" s="16"/>
      <c r="BA38" s="80" t="s">
        <v>161</v>
      </c>
      <c r="BB38" s="81"/>
      <c r="BC38" s="81"/>
      <c r="BD38" s="81"/>
      <c r="BE38" s="81"/>
      <c r="BF38" s="82">
        <v>1.65</v>
      </c>
      <c r="BG38" s="83"/>
    </row>
    <row r="39" ht="15.6" spans="2:60">
      <c r="B39" s="21">
        <v>37</v>
      </c>
      <c r="C39" s="22">
        <f t="shared" si="0"/>
        <v>592</v>
      </c>
      <c r="D39" s="23">
        <v>14.72</v>
      </c>
      <c r="E39" s="23">
        <v>14.72</v>
      </c>
      <c r="F39" s="23">
        <v>17.81</v>
      </c>
      <c r="G39" s="23">
        <v>20.13</v>
      </c>
      <c r="H39" s="23">
        <v>24.52</v>
      </c>
      <c r="I39" s="23">
        <v>30.28</v>
      </c>
      <c r="J39" s="23">
        <v>33.94</v>
      </c>
      <c r="K39" s="23">
        <v>39.27</v>
      </c>
      <c r="L39" s="4"/>
      <c r="M39" s="4"/>
      <c r="N39" s="21">
        <v>37</v>
      </c>
      <c r="O39" s="22">
        <f t="shared" si="1"/>
        <v>592</v>
      </c>
      <c r="P39" s="23">
        <v>13.49</v>
      </c>
      <c r="Q39" s="23">
        <v>13.49</v>
      </c>
      <c r="R39" s="23">
        <v>16.33</v>
      </c>
      <c r="S39" s="23">
        <v>18.45</v>
      </c>
      <c r="T39" s="23">
        <v>22.48</v>
      </c>
      <c r="U39" s="23">
        <v>27.76</v>
      </c>
      <c r="V39" s="23">
        <v>31.11</v>
      </c>
      <c r="W39" s="23">
        <v>36</v>
      </c>
      <c r="X39" s="4"/>
      <c r="Y39" s="4"/>
      <c r="Z39" s="21">
        <v>37</v>
      </c>
      <c r="AA39" s="22">
        <f t="shared" si="2"/>
        <v>592</v>
      </c>
      <c r="AB39" s="23">
        <v>12.26</v>
      </c>
      <c r="AC39" s="23">
        <v>12.26</v>
      </c>
      <c r="AD39" s="23">
        <v>14.84</v>
      </c>
      <c r="AE39" s="23">
        <v>16.77</v>
      </c>
      <c r="AF39" s="23">
        <v>20.43</v>
      </c>
      <c r="AG39" s="23">
        <v>25.23</v>
      </c>
      <c r="AH39" s="23">
        <v>28.28</v>
      </c>
      <c r="AI39" s="23">
        <v>32.72</v>
      </c>
      <c r="AJ39" s="5"/>
      <c r="AK39" s="5"/>
      <c r="AL39" s="21">
        <v>37</v>
      </c>
      <c r="AM39" s="22">
        <f t="shared" si="3"/>
        <v>592</v>
      </c>
      <c r="AN39" s="23">
        <v>10.07</v>
      </c>
      <c r="AO39" s="23">
        <v>10.07</v>
      </c>
      <c r="AP39" s="23">
        <v>12.19</v>
      </c>
      <c r="AQ39" s="23">
        <v>13.78</v>
      </c>
      <c r="AR39" s="23">
        <v>16.78</v>
      </c>
      <c r="AS39" s="23">
        <v>20.72</v>
      </c>
      <c r="AT39" s="23">
        <v>23.23</v>
      </c>
      <c r="AU39" s="23">
        <v>26.88</v>
      </c>
      <c r="AX39" s="84" t="s">
        <v>112</v>
      </c>
      <c r="AY39" s="56"/>
      <c r="AZ39" s="56"/>
      <c r="BA39" s="56"/>
      <c r="BB39" s="56"/>
      <c r="BC39" s="56"/>
      <c r="BD39" s="56"/>
      <c r="BE39" s="56"/>
      <c r="BF39" s="56"/>
      <c r="BG39" s="85"/>
    </row>
    <row r="40" ht="15.6" spans="2:60">
      <c r="B40" s="21">
        <v>38</v>
      </c>
      <c r="C40" s="22">
        <f t="shared" si="0"/>
        <v>608</v>
      </c>
      <c r="D40" s="23">
        <v>14.94</v>
      </c>
      <c r="E40" s="23">
        <v>14.94</v>
      </c>
      <c r="F40" s="23">
        <v>18.1</v>
      </c>
      <c r="G40" s="23">
        <v>20.67</v>
      </c>
      <c r="H40" s="23">
        <v>25.11</v>
      </c>
      <c r="I40" s="23">
        <v>30.96</v>
      </c>
      <c r="J40" s="23">
        <v>34.07</v>
      </c>
      <c r="K40" s="23">
        <v>40</v>
      </c>
      <c r="L40" s="4"/>
      <c r="M40" s="4"/>
      <c r="N40" s="21">
        <v>38</v>
      </c>
      <c r="O40" s="22">
        <f t="shared" si="1"/>
        <v>608</v>
      </c>
      <c r="P40" s="23">
        <v>13.7</v>
      </c>
      <c r="Q40" s="23">
        <v>13.7</v>
      </c>
      <c r="R40" s="23">
        <v>16.59</v>
      </c>
      <c r="S40" s="23">
        <v>18.95</v>
      </c>
      <c r="T40" s="23">
        <v>23.02</v>
      </c>
      <c r="U40" s="23">
        <v>28.38</v>
      </c>
      <c r="V40" s="23">
        <v>31.23</v>
      </c>
      <c r="W40" s="23">
        <v>36.67</v>
      </c>
      <c r="X40" s="4"/>
      <c r="Y40" s="4"/>
      <c r="Z40" s="21">
        <v>38</v>
      </c>
      <c r="AA40" s="22">
        <f t="shared" si="2"/>
        <v>608</v>
      </c>
      <c r="AB40" s="23">
        <v>12.45</v>
      </c>
      <c r="AC40" s="23">
        <v>12.45</v>
      </c>
      <c r="AD40" s="23">
        <v>15.08</v>
      </c>
      <c r="AE40" s="23">
        <v>17.22</v>
      </c>
      <c r="AF40" s="23">
        <v>20.92</v>
      </c>
      <c r="AG40" s="23">
        <v>25.8</v>
      </c>
      <c r="AH40" s="23">
        <v>28.39</v>
      </c>
      <c r="AI40" s="23">
        <v>33.33</v>
      </c>
      <c r="AJ40" s="5"/>
      <c r="AK40" s="5"/>
      <c r="AL40" s="21">
        <v>38</v>
      </c>
      <c r="AM40" s="22">
        <f t="shared" si="3"/>
        <v>608</v>
      </c>
      <c r="AN40" s="23">
        <v>10.22</v>
      </c>
      <c r="AO40" s="23">
        <v>10.22</v>
      </c>
      <c r="AP40" s="23">
        <v>12.39</v>
      </c>
      <c r="AQ40" s="23">
        <v>14.15</v>
      </c>
      <c r="AR40" s="23">
        <v>17.18</v>
      </c>
      <c r="AS40" s="23">
        <v>21.19</v>
      </c>
      <c r="AT40" s="23">
        <v>23.32</v>
      </c>
      <c r="AU40" s="23">
        <v>27.38</v>
      </c>
      <c r="AX40" s="86" t="s">
        <v>113</v>
      </c>
      <c r="AY40" s="87"/>
      <c r="AZ40" s="87"/>
      <c r="BA40" s="87"/>
      <c r="BB40" s="87"/>
      <c r="BC40" s="87"/>
      <c r="BD40" s="87"/>
      <c r="BE40" s="87"/>
      <c r="BF40" s="87"/>
      <c r="BG40" s="88"/>
    </row>
    <row r="41" ht="15.6" spans="2:60">
      <c r="B41" s="21">
        <v>39</v>
      </c>
      <c r="C41" s="22">
        <f t="shared" si="0"/>
        <v>624</v>
      </c>
      <c r="D41" s="23">
        <v>15.45</v>
      </c>
      <c r="E41" s="23">
        <v>15.45</v>
      </c>
      <c r="F41" s="23">
        <v>18.78</v>
      </c>
      <c r="G41" s="23">
        <v>21.54</v>
      </c>
      <c r="H41" s="23">
        <v>25.74</v>
      </c>
      <c r="I41" s="23">
        <v>32.19</v>
      </c>
      <c r="J41" s="23">
        <v>35.42</v>
      </c>
      <c r="K41" s="23">
        <v>40.83</v>
      </c>
      <c r="L41" s="4"/>
      <c r="M41" s="4"/>
      <c r="N41" s="21">
        <v>39</v>
      </c>
      <c r="O41" s="22">
        <f t="shared" si="1"/>
        <v>624</v>
      </c>
      <c r="P41" s="23">
        <v>14.16</v>
      </c>
      <c r="Q41" s="23">
        <v>14.16</v>
      </c>
      <c r="R41" s="23">
        <v>17.22</v>
      </c>
      <c r="S41" s="23">
        <v>19.75</v>
      </c>
      <c r="T41" s="23">
        <v>23.6</v>
      </c>
      <c r="U41" s="23">
        <v>29.51</v>
      </c>
      <c r="V41" s="23">
        <v>32.47</v>
      </c>
      <c r="W41" s="23">
        <v>37.43</v>
      </c>
      <c r="X41" s="4"/>
      <c r="Y41" s="4"/>
      <c r="Z41" s="21">
        <v>39</v>
      </c>
      <c r="AA41" s="22">
        <f t="shared" si="2"/>
        <v>624</v>
      </c>
      <c r="AB41" s="23">
        <v>12.87</v>
      </c>
      <c r="AC41" s="23">
        <v>12.87</v>
      </c>
      <c r="AD41" s="23">
        <v>15.65</v>
      </c>
      <c r="AE41" s="23">
        <v>17.95</v>
      </c>
      <c r="AF41" s="23">
        <v>21.45</v>
      </c>
      <c r="AG41" s="23">
        <v>26.82</v>
      </c>
      <c r="AH41" s="23">
        <v>29.51</v>
      </c>
      <c r="AI41" s="23">
        <v>34.02</v>
      </c>
      <c r="AJ41" s="5"/>
      <c r="AK41" s="5"/>
      <c r="AL41" s="21">
        <v>39</v>
      </c>
      <c r="AM41" s="22">
        <f t="shared" si="3"/>
        <v>624</v>
      </c>
      <c r="AN41" s="23">
        <v>10.57</v>
      </c>
      <c r="AO41" s="23">
        <v>10.57</v>
      </c>
      <c r="AP41" s="23">
        <v>12.86</v>
      </c>
      <c r="AQ41" s="23">
        <v>14.74</v>
      </c>
      <c r="AR41" s="23">
        <v>17.62</v>
      </c>
      <c r="AS41" s="23">
        <v>22.03</v>
      </c>
      <c r="AT41" s="23">
        <v>24.24</v>
      </c>
      <c r="AU41" s="23">
        <v>27.95</v>
      </c>
    </row>
    <row r="42" ht="15.6" spans="2:60">
      <c r="B42" s="21">
        <v>40</v>
      </c>
      <c r="C42" s="22">
        <f t="shared" si="0"/>
        <v>640</v>
      </c>
      <c r="D42" s="23">
        <v>15.46</v>
      </c>
      <c r="E42" s="23">
        <v>15.46</v>
      </c>
      <c r="F42" s="23">
        <v>18.87</v>
      </c>
      <c r="G42" s="23">
        <v>21.56</v>
      </c>
      <c r="H42" s="23">
        <v>25.79</v>
      </c>
      <c r="I42" s="23">
        <v>32.42</v>
      </c>
      <c r="J42" s="23">
        <v>35.44</v>
      </c>
      <c r="K42" s="23">
        <v>40.83</v>
      </c>
      <c r="L42" s="4"/>
      <c r="M42" s="4"/>
      <c r="N42" s="21">
        <v>40</v>
      </c>
      <c r="O42" s="22">
        <f t="shared" si="1"/>
        <v>640</v>
      </c>
      <c r="P42" s="23">
        <v>14.17</v>
      </c>
      <c r="Q42" s="23">
        <v>14.17</v>
      </c>
      <c r="R42" s="23">
        <v>17.3</v>
      </c>
      <c r="S42" s="23">
        <v>19.76</v>
      </c>
      <c r="T42" s="23">
        <v>23.64</v>
      </c>
      <c r="U42" s="23">
        <v>29.72</v>
      </c>
      <c r="V42" s="23">
        <v>32.49</v>
      </c>
      <c r="W42" s="23">
        <v>37.43</v>
      </c>
      <c r="X42" s="4"/>
      <c r="Y42" s="4"/>
      <c r="Z42" s="21">
        <v>40</v>
      </c>
      <c r="AA42" s="22">
        <f t="shared" si="2"/>
        <v>640</v>
      </c>
      <c r="AB42" s="23">
        <v>12.88</v>
      </c>
      <c r="AC42" s="23">
        <v>12.88</v>
      </c>
      <c r="AD42" s="23">
        <v>15.72</v>
      </c>
      <c r="AE42" s="23">
        <v>17.96</v>
      </c>
      <c r="AF42" s="23">
        <v>21.49</v>
      </c>
      <c r="AG42" s="23">
        <v>27.01</v>
      </c>
      <c r="AH42" s="23">
        <v>29.53</v>
      </c>
      <c r="AI42" s="23">
        <v>34.02</v>
      </c>
      <c r="AJ42" s="5"/>
      <c r="AK42" s="5"/>
      <c r="AL42" s="21">
        <v>40</v>
      </c>
      <c r="AM42" s="22">
        <f t="shared" si="3"/>
        <v>640</v>
      </c>
      <c r="AN42" s="23">
        <v>10.58</v>
      </c>
      <c r="AO42" s="23">
        <v>10.58</v>
      </c>
      <c r="AP42" s="23">
        <v>12.91</v>
      </c>
      <c r="AQ42" s="23">
        <v>14.75</v>
      </c>
      <c r="AR42" s="23">
        <v>17.65</v>
      </c>
      <c r="AS42" s="23">
        <v>22.18</v>
      </c>
      <c r="AT42" s="23">
        <v>24.25</v>
      </c>
      <c r="AU42" s="23">
        <v>27.95</v>
      </c>
    </row>
    <row r="43" ht="15.6" spans="2:60">
      <c r="B43" s="21">
        <v>41</v>
      </c>
      <c r="C43" s="22">
        <f t="shared" si="0"/>
        <v>656</v>
      </c>
      <c r="D43" s="23">
        <v>15.81</v>
      </c>
      <c r="E43" s="23">
        <v>15.81</v>
      </c>
      <c r="F43" s="23">
        <v>19.67</v>
      </c>
      <c r="G43" s="23">
        <v>22.17</v>
      </c>
      <c r="H43" s="23">
        <v>26.67</v>
      </c>
      <c r="I43" s="23">
        <v>33.57</v>
      </c>
      <c r="J43" s="23">
        <v>36.53</v>
      </c>
      <c r="K43" s="23">
        <v>42.38</v>
      </c>
      <c r="L43" s="4"/>
      <c r="M43" s="4"/>
      <c r="N43" s="21">
        <v>41</v>
      </c>
      <c r="O43" s="22">
        <f t="shared" si="1"/>
        <v>656</v>
      </c>
      <c r="P43" s="23">
        <v>14.49</v>
      </c>
      <c r="Q43" s="23">
        <v>14.49</v>
      </c>
      <c r="R43" s="23">
        <v>18.03</v>
      </c>
      <c r="S43" s="23">
        <v>20.32</v>
      </c>
      <c r="T43" s="23">
        <v>24.45</v>
      </c>
      <c r="U43" s="23">
        <v>30.77</v>
      </c>
      <c r="V43" s="23">
        <v>33.49</v>
      </c>
      <c r="W43" s="23">
        <v>38.85</v>
      </c>
      <c r="X43" s="4"/>
      <c r="Y43" s="4"/>
      <c r="Z43" s="21">
        <v>41</v>
      </c>
      <c r="AA43" s="22">
        <f t="shared" si="2"/>
        <v>656</v>
      </c>
      <c r="AB43" s="23">
        <v>13.17</v>
      </c>
      <c r="AC43" s="23">
        <v>13.17</v>
      </c>
      <c r="AD43" s="23">
        <v>16.39</v>
      </c>
      <c r="AE43" s="23">
        <v>18.47</v>
      </c>
      <c r="AF43" s="23">
        <v>22.22</v>
      </c>
      <c r="AG43" s="23">
        <v>27.97</v>
      </c>
      <c r="AH43" s="23">
        <v>30.44</v>
      </c>
      <c r="AI43" s="23">
        <v>35.31</v>
      </c>
      <c r="AJ43" s="5"/>
      <c r="AK43" s="5"/>
      <c r="AL43" s="21">
        <v>41</v>
      </c>
      <c r="AM43" s="22">
        <f t="shared" si="3"/>
        <v>656</v>
      </c>
      <c r="AN43" s="23">
        <v>10.82</v>
      </c>
      <c r="AO43" s="23">
        <v>10.82</v>
      </c>
      <c r="AP43" s="23">
        <v>13.47</v>
      </c>
      <c r="AQ43" s="23">
        <v>15.17</v>
      </c>
      <c r="AR43" s="23">
        <v>18.25</v>
      </c>
      <c r="AS43" s="23">
        <v>22.98</v>
      </c>
      <c r="AT43" s="23">
        <v>25</v>
      </c>
      <c r="AU43" s="23">
        <v>29</v>
      </c>
    </row>
    <row r="44" ht="15.6" spans="2:60">
      <c r="B44" s="21">
        <v>42</v>
      </c>
      <c r="C44" s="22">
        <f t="shared" si="0"/>
        <v>672</v>
      </c>
      <c r="D44" s="23">
        <v>20.15</v>
      </c>
      <c r="E44" s="23">
        <v>20.15</v>
      </c>
      <c r="F44" s="23">
        <v>25.15</v>
      </c>
      <c r="G44" s="23">
        <v>29.34</v>
      </c>
      <c r="H44" s="23">
        <v>34.08</v>
      </c>
      <c r="I44" s="23">
        <v>43.2</v>
      </c>
      <c r="J44" s="23">
        <v>50.86</v>
      </c>
      <c r="K44" s="23">
        <v>58.32</v>
      </c>
      <c r="L44" s="4"/>
      <c r="M44" s="4"/>
      <c r="N44" s="21">
        <v>42</v>
      </c>
      <c r="O44" s="22">
        <f t="shared" si="1"/>
        <v>672</v>
      </c>
      <c r="P44" s="23">
        <v>18.49</v>
      </c>
      <c r="Q44" s="23">
        <v>18.49</v>
      </c>
      <c r="R44" s="23">
        <v>23.08</v>
      </c>
      <c r="S44" s="23">
        <v>26.93</v>
      </c>
      <c r="T44" s="23">
        <v>31.28</v>
      </c>
      <c r="U44" s="23">
        <v>39.64</v>
      </c>
      <c r="V44" s="23">
        <v>46.68</v>
      </c>
      <c r="W44" s="23">
        <v>53.52</v>
      </c>
      <c r="X44" s="4"/>
      <c r="Y44" s="4"/>
      <c r="Z44" s="21">
        <v>42</v>
      </c>
      <c r="AA44" s="22">
        <f t="shared" si="2"/>
        <v>672</v>
      </c>
      <c r="AB44" s="23">
        <v>16.83</v>
      </c>
      <c r="AC44" s="23">
        <v>16.83</v>
      </c>
      <c r="AD44" s="23">
        <v>21.01</v>
      </c>
      <c r="AE44" s="23">
        <v>24.51</v>
      </c>
      <c r="AF44" s="23">
        <v>28.47</v>
      </c>
      <c r="AG44" s="23">
        <v>36.09</v>
      </c>
      <c r="AH44" s="23">
        <v>42.49</v>
      </c>
      <c r="AI44" s="23">
        <v>48.72</v>
      </c>
      <c r="AJ44" s="5"/>
      <c r="AK44" s="5"/>
      <c r="AL44" s="21">
        <v>42</v>
      </c>
      <c r="AM44" s="22">
        <f t="shared" si="3"/>
        <v>672</v>
      </c>
      <c r="AN44" s="23">
        <v>14.03</v>
      </c>
      <c r="AO44" s="23">
        <v>14.03</v>
      </c>
      <c r="AP44" s="23">
        <v>17.51</v>
      </c>
      <c r="AQ44" s="23">
        <v>20.43</v>
      </c>
      <c r="AR44" s="23">
        <v>23.73</v>
      </c>
      <c r="AS44" s="23">
        <v>30.07</v>
      </c>
      <c r="AT44" s="23">
        <v>35.41</v>
      </c>
      <c r="AU44" s="23">
        <v>40.6</v>
      </c>
    </row>
    <row r="45" ht="15.6" spans="2:60">
      <c r="B45" s="21">
        <v>43</v>
      </c>
      <c r="C45" s="22">
        <f t="shared" si="0"/>
        <v>688</v>
      </c>
      <c r="D45" s="23">
        <v>20.52</v>
      </c>
      <c r="E45" s="23">
        <v>20.52</v>
      </c>
      <c r="F45" s="23">
        <v>25.52</v>
      </c>
      <c r="G45" s="23">
        <v>29.39</v>
      </c>
      <c r="H45" s="23">
        <v>35.8</v>
      </c>
      <c r="I45" s="23">
        <v>45.28</v>
      </c>
      <c r="J45" s="23">
        <v>52.71</v>
      </c>
      <c r="K45" s="23">
        <v>59.9</v>
      </c>
      <c r="L45" s="4"/>
      <c r="M45" s="4"/>
      <c r="N45" s="21">
        <v>43</v>
      </c>
      <c r="O45" s="22">
        <f t="shared" si="1"/>
        <v>688</v>
      </c>
      <c r="P45" s="23">
        <v>18.84</v>
      </c>
      <c r="Q45" s="23">
        <v>18.84</v>
      </c>
      <c r="R45" s="23">
        <v>23.42</v>
      </c>
      <c r="S45" s="23">
        <v>26.97</v>
      </c>
      <c r="T45" s="23">
        <v>32.86</v>
      </c>
      <c r="U45" s="23">
        <v>41.56</v>
      </c>
      <c r="V45" s="23">
        <v>48.37</v>
      </c>
      <c r="W45" s="23">
        <v>54.97</v>
      </c>
      <c r="X45" s="4"/>
      <c r="Y45" s="4"/>
      <c r="Z45" s="21">
        <v>43</v>
      </c>
      <c r="AA45" s="22">
        <f t="shared" si="2"/>
        <v>688</v>
      </c>
      <c r="AB45" s="23">
        <v>17.15</v>
      </c>
      <c r="AC45" s="23">
        <v>17.15</v>
      </c>
      <c r="AD45" s="23">
        <v>21.32</v>
      </c>
      <c r="AE45" s="23">
        <v>24.55</v>
      </c>
      <c r="AF45" s="23">
        <v>29.91</v>
      </c>
      <c r="AG45" s="23">
        <v>37.83</v>
      </c>
      <c r="AH45" s="23">
        <v>44.04</v>
      </c>
      <c r="AI45" s="23">
        <v>50.04</v>
      </c>
      <c r="AJ45" s="5"/>
      <c r="AK45" s="5"/>
      <c r="AL45" s="21">
        <v>43</v>
      </c>
      <c r="AM45" s="22">
        <f t="shared" si="3"/>
        <v>688</v>
      </c>
      <c r="AN45" s="23">
        <v>14.29</v>
      </c>
      <c r="AO45" s="23">
        <v>14.29</v>
      </c>
      <c r="AP45" s="23">
        <v>17.77</v>
      </c>
      <c r="AQ45" s="23">
        <v>20.46</v>
      </c>
      <c r="AR45" s="23">
        <v>24.93</v>
      </c>
      <c r="AS45" s="23">
        <v>31.53</v>
      </c>
      <c r="AT45" s="23">
        <v>36.7</v>
      </c>
      <c r="AU45" s="23">
        <v>41.7</v>
      </c>
    </row>
    <row r="46" ht="15.6" spans="2:60">
      <c r="B46" s="21">
        <v>44</v>
      </c>
      <c r="C46" s="22">
        <f t="shared" si="0"/>
        <v>704</v>
      </c>
      <c r="D46" s="23">
        <v>20.82</v>
      </c>
      <c r="E46" s="23">
        <v>20.82</v>
      </c>
      <c r="F46" s="23">
        <v>25.91</v>
      </c>
      <c r="G46" s="23">
        <v>30.15</v>
      </c>
      <c r="H46" s="23">
        <v>36.47</v>
      </c>
      <c r="I46" s="23">
        <v>45.68</v>
      </c>
      <c r="J46" s="23">
        <v>54.05</v>
      </c>
      <c r="K46" s="23">
        <v>60.53</v>
      </c>
      <c r="L46" s="4"/>
      <c r="M46" s="4"/>
      <c r="N46" s="21">
        <v>44</v>
      </c>
      <c r="O46" s="22">
        <f t="shared" si="1"/>
        <v>704</v>
      </c>
      <c r="P46" s="23">
        <v>19.11</v>
      </c>
      <c r="Q46" s="23">
        <v>19.11</v>
      </c>
      <c r="R46" s="23">
        <v>23.78</v>
      </c>
      <c r="S46" s="23">
        <v>27.67</v>
      </c>
      <c r="T46" s="23">
        <v>33.47</v>
      </c>
      <c r="U46" s="23">
        <v>41.92</v>
      </c>
      <c r="V46" s="23">
        <v>49.6</v>
      </c>
      <c r="W46" s="23">
        <v>55.55</v>
      </c>
      <c r="X46" s="4"/>
      <c r="Y46" s="4"/>
      <c r="Z46" s="21">
        <v>44</v>
      </c>
      <c r="AA46" s="22">
        <f t="shared" si="2"/>
        <v>704</v>
      </c>
      <c r="AB46" s="23">
        <v>17.4</v>
      </c>
      <c r="AC46" s="23">
        <v>17.4</v>
      </c>
      <c r="AD46" s="23">
        <v>21.65</v>
      </c>
      <c r="AE46" s="23">
        <v>25.19</v>
      </c>
      <c r="AF46" s="23">
        <v>30.47</v>
      </c>
      <c r="AG46" s="23">
        <v>38.16</v>
      </c>
      <c r="AH46" s="23">
        <v>45.16</v>
      </c>
      <c r="AI46" s="23">
        <v>50.57</v>
      </c>
      <c r="AJ46" s="5"/>
      <c r="AK46" s="5"/>
      <c r="AL46" s="21">
        <v>44</v>
      </c>
      <c r="AM46" s="22">
        <f t="shared" si="3"/>
        <v>704</v>
      </c>
      <c r="AN46" s="23">
        <v>14.5</v>
      </c>
      <c r="AO46" s="23">
        <v>14.5</v>
      </c>
      <c r="AP46" s="23">
        <v>18.04</v>
      </c>
      <c r="AQ46" s="23">
        <v>20.99</v>
      </c>
      <c r="AR46" s="23">
        <v>25.39</v>
      </c>
      <c r="AS46" s="23">
        <v>31.8</v>
      </c>
      <c r="AT46" s="23">
        <v>37.63</v>
      </c>
      <c r="AU46" s="23">
        <v>42.14</v>
      </c>
    </row>
    <row r="47" ht="15.6" spans="2:60">
      <c r="B47" s="21">
        <v>45</v>
      </c>
      <c r="C47" s="22">
        <f t="shared" si="0"/>
        <v>720</v>
      </c>
      <c r="D47" s="23">
        <v>20.84</v>
      </c>
      <c r="E47" s="23">
        <v>20.84</v>
      </c>
      <c r="F47" s="23">
        <v>25.91</v>
      </c>
      <c r="G47" s="23">
        <v>30.15</v>
      </c>
      <c r="H47" s="23">
        <v>36.47</v>
      </c>
      <c r="I47" s="23">
        <v>45.82</v>
      </c>
      <c r="J47" s="23">
        <v>55.39</v>
      </c>
      <c r="K47" s="23">
        <v>60.96</v>
      </c>
      <c r="L47" s="4"/>
      <c r="M47" s="4"/>
      <c r="N47" s="21">
        <v>45</v>
      </c>
      <c r="O47" s="22">
        <f t="shared" si="1"/>
        <v>720</v>
      </c>
      <c r="P47" s="23">
        <v>19.13</v>
      </c>
      <c r="Q47" s="23">
        <v>19.13</v>
      </c>
      <c r="R47" s="23">
        <v>23.78</v>
      </c>
      <c r="S47" s="23">
        <v>27.67</v>
      </c>
      <c r="T47" s="23">
        <v>33.47</v>
      </c>
      <c r="U47" s="23">
        <v>42.05</v>
      </c>
      <c r="V47" s="23">
        <v>50.84</v>
      </c>
      <c r="W47" s="23">
        <v>55.94</v>
      </c>
      <c r="X47" s="4"/>
      <c r="Y47" s="4"/>
      <c r="Z47" s="21">
        <v>45</v>
      </c>
      <c r="AA47" s="22">
        <f t="shared" si="2"/>
        <v>720</v>
      </c>
      <c r="AB47" s="23">
        <v>17.41</v>
      </c>
      <c r="AC47" s="23">
        <v>17.41</v>
      </c>
      <c r="AD47" s="23">
        <v>21.65</v>
      </c>
      <c r="AE47" s="23">
        <v>25.19</v>
      </c>
      <c r="AF47" s="23">
        <v>30.47</v>
      </c>
      <c r="AG47" s="23">
        <v>38.28</v>
      </c>
      <c r="AH47" s="23">
        <v>46.28</v>
      </c>
      <c r="AI47" s="23">
        <v>50.93</v>
      </c>
      <c r="AJ47" s="5"/>
      <c r="AK47" s="5"/>
      <c r="AL47" s="21">
        <v>45</v>
      </c>
      <c r="AM47" s="22">
        <f t="shared" si="3"/>
        <v>720</v>
      </c>
      <c r="AN47" s="23">
        <v>14.51</v>
      </c>
      <c r="AO47" s="23">
        <v>14.51</v>
      </c>
      <c r="AP47" s="23">
        <v>18.04</v>
      </c>
      <c r="AQ47" s="23">
        <v>20.99</v>
      </c>
      <c r="AR47" s="23">
        <v>25.39</v>
      </c>
      <c r="AS47" s="23">
        <v>31.9</v>
      </c>
      <c r="AT47" s="23">
        <v>38.57</v>
      </c>
      <c r="AU47" s="23">
        <v>42.44</v>
      </c>
    </row>
    <row r="48" ht="15.6" spans="2:60">
      <c r="B48" s="21">
        <v>46</v>
      </c>
      <c r="C48" s="22">
        <f t="shared" si="0"/>
        <v>736</v>
      </c>
      <c r="D48" s="23">
        <v>21.5</v>
      </c>
      <c r="E48" s="23">
        <v>21.5</v>
      </c>
      <c r="F48" s="23">
        <v>26.18</v>
      </c>
      <c r="G48" s="23">
        <v>31.11</v>
      </c>
      <c r="H48" s="23">
        <v>37.35</v>
      </c>
      <c r="I48" s="23">
        <v>47.02</v>
      </c>
      <c r="J48" s="23">
        <v>56</v>
      </c>
      <c r="K48" s="23">
        <v>62.57</v>
      </c>
      <c r="L48" s="4"/>
      <c r="M48" s="4"/>
      <c r="N48" s="21">
        <v>46</v>
      </c>
      <c r="O48" s="22">
        <f t="shared" si="1"/>
        <v>736</v>
      </c>
      <c r="P48" s="23">
        <v>19.73</v>
      </c>
      <c r="Q48" s="23">
        <v>19.73</v>
      </c>
      <c r="R48" s="23">
        <v>24.03</v>
      </c>
      <c r="S48" s="23">
        <v>28.55</v>
      </c>
      <c r="T48" s="23">
        <v>34.28</v>
      </c>
      <c r="U48" s="23">
        <v>43.15</v>
      </c>
      <c r="V48" s="23">
        <v>51.39</v>
      </c>
      <c r="W48" s="23">
        <v>57.42</v>
      </c>
      <c r="X48" s="4"/>
      <c r="Y48" s="4"/>
      <c r="Z48" s="21">
        <v>46</v>
      </c>
      <c r="AA48" s="22">
        <f t="shared" si="2"/>
        <v>736</v>
      </c>
      <c r="AB48" s="23">
        <v>17.97</v>
      </c>
      <c r="AC48" s="23">
        <v>17.97</v>
      </c>
      <c r="AD48" s="23">
        <v>21.87</v>
      </c>
      <c r="AE48" s="23">
        <v>25.99</v>
      </c>
      <c r="AF48" s="23">
        <v>31.2</v>
      </c>
      <c r="AG48" s="23">
        <v>39.28</v>
      </c>
      <c r="AH48" s="23">
        <v>46.78</v>
      </c>
      <c r="AI48" s="23">
        <v>52.27</v>
      </c>
      <c r="AJ48" s="5"/>
      <c r="AK48" s="5"/>
      <c r="AL48" s="21">
        <v>46</v>
      </c>
      <c r="AM48" s="22">
        <f t="shared" si="3"/>
        <v>736</v>
      </c>
      <c r="AN48" s="23">
        <v>14.97</v>
      </c>
      <c r="AO48" s="23">
        <v>14.97</v>
      </c>
      <c r="AP48" s="23">
        <v>18.23</v>
      </c>
      <c r="AQ48" s="23">
        <v>21.66</v>
      </c>
      <c r="AR48" s="23">
        <v>26</v>
      </c>
      <c r="AS48" s="23">
        <v>32.74</v>
      </c>
      <c r="AT48" s="23">
        <v>38.98</v>
      </c>
      <c r="AU48" s="23">
        <v>43.56</v>
      </c>
    </row>
    <row r="49" ht="15.6" spans="2:47">
      <c r="B49" s="21">
        <v>47</v>
      </c>
      <c r="C49" s="22">
        <f t="shared" si="0"/>
        <v>752</v>
      </c>
      <c r="D49" s="23">
        <v>21.58</v>
      </c>
      <c r="E49" s="23">
        <v>21.58</v>
      </c>
      <c r="F49" s="23">
        <v>26.78</v>
      </c>
      <c r="G49" s="23">
        <v>31.62</v>
      </c>
      <c r="H49" s="23">
        <v>37.62</v>
      </c>
      <c r="I49" s="23">
        <v>47.67</v>
      </c>
      <c r="J49" s="23">
        <v>57.1</v>
      </c>
      <c r="K49" s="23">
        <v>63.58</v>
      </c>
      <c r="L49" s="4"/>
      <c r="M49" s="4"/>
      <c r="N49" s="21">
        <v>47</v>
      </c>
      <c r="O49" s="22">
        <f t="shared" si="1"/>
        <v>752</v>
      </c>
      <c r="P49" s="23">
        <v>19.81</v>
      </c>
      <c r="Q49" s="23">
        <v>19.81</v>
      </c>
      <c r="R49" s="23">
        <v>24.58</v>
      </c>
      <c r="S49" s="23">
        <v>29.01</v>
      </c>
      <c r="T49" s="23">
        <v>34.52</v>
      </c>
      <c r="U49" s="23">
        <v>43.75</v>
      </c>
      <c r="V49" s="23">
        <v>52.4</v>
      </c>
      <c r="W49" s="23">
        <v>58.35</v>
      </c>
      <c r="X49" s="4"/>
      <c r="Y49" s="4"/>
      <c r="Z49" s="21">
        <v>47</v>
      </c>
      <c r="AA49" s="22">
        <f t="shared" si="2"/>
        <v>752</v>
      </c>
      <c r="AB49" s="23">
        <v>18.03</v>
      </c>
      <c r="AC49" s="23">
        <v>18.03</v>
      </c>
      <c r="AD49" s="23">
        <v>22.37</v>
      </c>
      <c r="AE49" s="23">
        <v>26.41</v>
      </c>
      <c r="AF49" s="23">
        <v>31.43</v>
      </c>
      <c r="AG49" s="23">
        <v>39.82</v>
      </c>
      <c r="AH49" s="23">
        <v>47.7</v>
      </c>
      <c r="AI49" s="23">
        <v>53.12</v>
      </c>
      <c r="AJ49" s="5"/>
      <c r="AK49" s="5"/>
      <c r="AL49" s="21">
        <v>47</v>
      </c>
      <c r="AM49" s="22">
        <f t="shared" si="3"/>
        <v>752</v>
      </c>
      <c r="AN49" s="23">
        <v>15.03</v>
      </c>
      <c r="AO49" s="23">
        <v>15.03</v>
      </c>
      <c r="AP49" s="23">
        <v>18.65</v>
      </c>
      <c r="AQ49" s="23">
        <v>22.01</v>
      </c>
      <c r="AR49" s="23">
        <v>26.19</v>
      </c>
      <c r="AS49" s="23">
        <v>33.19</v>
      </c>
      <c r="AT49" s="23">
        <v>39.75</v>
      </c>
      <c r="AU49" s="23">
        <v>44.26</v>
      </c>
    </row>
    <row r="50" ht="15.6" spans="2:47">
      <c r="B50" s="21">
        <v>48</v>
      </c>
      <c r="C50" s="22">
        <f t="shared" si="0"/>
        <v>768</v>
      </c>
      <c r="D50" s="23">
        <v>21.6</v>
      </c>
      <c r="E50" s="23">
        <v>21.6</v>
      </c>
      <c r="F50" s="23">
        <v>26.95</v>
      </c>
      <c r="G50" s="23">
        <v>31.92</v>
      </c>
      <c r="H50" s="23">
        <v>38.77</v>
      </c>
      <c r="I50" s="23">
        <v>48.38</v>
      </c>
      <c r="J50" s="23">
        <v>57.61</v>
      </c>
      <c r="K50" s="23">
        <v>64.59</v>
      </c>
      <c r="L50" s="4"/>
      <c r="M50" s="4"/>
      <c r="N50" s="21">
        <v>48</v>
      </c>
      <c r="O50" s="22">
        <f t="shared" si="1"/>
        <v>768</v>
      </c>
      <c r="P50" s="23">
        <v>19.82</v>
      </c>
      <c r="Q50" s="23">
        <v>19.82</v>
      </c>
      <c r="R50" s="23">
        <v>24.74</v>
      </c>
      <c r="S50" s="23">
        <v>29.29</v>
      </c>
      <c r="T50" s="23">
        <v>35.58</v>
      </c>
      <c r="U50" s="23">
        <v>44.4</v>
      </c>
      <c r="V50" s="23">
        <v>52.87</v>
      </c>
      <c r="W50" s="23">
        <v>59.28</v>
      </c>
      <c r="X50" s="4"/>
      <c r="Y50" s="4"/>
      <c r="Z50" s="21">
        <v>48</v>
      </c>
      <c r="AA50" s="22">
        <f t="shared" si="2"/>
        <v>768</v>
      </c>
      <c r="AB50" s="23">
        <v>18.04</v>
      </c>
      <c r="AC50" s="23">
        <v>18.04</v>
      </c>
      <c r="AD50" s="23">
        <v>22.52</v>
      </c>
      <c r="AE50" s="23">
        <v>26.66</v>
      </c>
      <c r="AF50" s="23">
        <v>32.39</v>
      </c>
      <c r="AG50" s="23">
        <v>40.42</v>
      </c>
      <c r="AH50" s="23">
        <v>48.13</v>
      </c>
      <c r="AI50" s="23">
        <v>53.96</v>
      </c>
      <c r="AJ50" s="5"/>
      <c r="AK50" s="5"/>
      <c r="AL50" s="21">
        <v>48</v>
      </c>
      <c r="AM50" s="22">
        <f t="shared" si="3"/>
        <v>768</v>
      </c>
      <c r="AN50" s="23">
        <v>15.04</v>
      </c>
      <c r="AO50" s="23">
        <v>15.04</v>
      </c>
      <c r="AP50" s="23">
        <v>18.77</v>
      </c>
      <c r="AQ50" s="23">
        <v>22.22</v>
      </c>
      <c r="AR50" s="23">
        <v>26.99</v>
      </c>
      <c r="AS50" s="23">
        <v>33.68</v>
      </c>
      <c r="AT50" s="23">
        <v>40.11</v>
      </c>
      <c r="AU50" s="23">
        <v>44.97</v>
      </c>
    </row>
    <row r="51" ht="15.6" spans="2:47">
      <c r="B51" s="21">
        <v>49</v>
      </c>
      <c r="C51" s="22">
        <f t="shared" si="0"/>
        <v>784</v>
      </c>
      <c r="D51" s="23">
        <v>21.61</v>
      </c>
      <c r="E51" s="23">
        <v>21.61</v>
      </c>
      <c r="F51" s="23">
        <v>26.97</v>
      </c>
      <c r="G51" s="23">
        <v>32</v>
      </c>
      <c r="H51" s="23">
        <v>38.79</v>
      </c>
      <c r="I51" s="23">
        <v>48.74</v>
      </c>
      <c r="J51" s="23">
        <v>58.78</v>
      </c>
      <c r="K51" s="23">
        <v>64.97</v>
      </c>
      <c r="L51" s="4"/>
      <c r="M51" s="4"/>
      <c r="N51" s="21">
        <v>49</v>
      </c>
      <c r="O51" s="22">
        <f t="shared" si="1"/>
        <v>784</v>
      </c>
      <c r="P51" s="23">
        <v>19.84</v>
      </c>
      <c r="Q51" s="23">
        <v>19.84</v>
      </c>
      <c r="R51" s="23">
        <v>24.75</v>
      </c>
      <c r="S51" s="23">
        <v>29.36</v>
      </c>
      <c r="T51" s="23">
        <v>35.6</v>
      </c>
      <c r="U51" s="23">
        <v>44.73</v>
      </c>
      <c r="V51" s="23">
        <v>53.94</v>
      </c>
      <c r="W51" s="23">
        <v>59.62</v>
      </c>
      <c r="X51" s="4"/>
      <c r="Y51" s="4"/>
      <c r="Z51" s="21">
        <v>49</v>
      </c>
      <c r="AA51" s="22">
        <f t="shared" si="2"/>
        <v>784</v>
      </c>
      <c r="AB51" s="23">
        <v>18.06</v>
      </c>
      <c r="AC51" s="23">
        <v>18.06</v>
      </c>
      <c r="AD51" s="23">
        <v>22.53</v>
      </c>
      <c r="AE51" s="23">
        <v>26.73</v>
      </c>
      <c r="AF51" s="23">
        <v>32.41</v>
      </c>
      <c r="AG51" s="23">
        <v>40.72</v>
      </c>
      <c r="AH51" s="23">
        <v>49.1</v>
      </c>
      <c r="AI51" s="23">
        <v>54.28</v>
      </c>
      <c r="AJ51" s="5"/>
      <c r="AK51" s="5"/>
      <c r="AL51" s="21">
        <v>49</v>
      </c>
      <c r="AM51" s="22">
        <f t="shared" si="3"/>
        <v>784</v>
      </c>
      <c r="AN51" s="23">
        <v>15.05</v>
      </c>
      <c r="AO51" s="23">
        <v>15.05</v>
      </c>
      <c r="AP51" s="23">
        <v>18.78</v>
      </c>
      <c r="AQ51" s="23">
        <v>22.28</v>
      </c>
      <c r="AR51" s="23">
        <v>27.01</v>
      </c>
      <c r="AS51" s="23">
        <v>33.94</v>
      </c>
      <c r="AT51" s="23">
        <v>40.92</v>
      </c>
      <c r="AU51" s="23">
        <v>45.23</v>
      </c>
    </row>
    <row r="52" ht="15.6" spans="2:47">
      <c r="B52" s="21">
        <v>50</v>
      </c>
      <c r="C52" s="22">
        <f t="shared" si="0"/>
        <v>800</v>
      </c>
      <c r="D52" s="23">
        <v>21.61</v>
      </c>
      <c r="E52" s="23">
        <v>21.61</v>
      </c>
      <c r="F52" s="23">
        <v>26.99</v>
      </c>
      <c r="G52" s="23">
        <v>32.01</v>
      </c>
      <c r="H52" s="23">
        <v>38.84</v>
      </c>
      <c r="I52" s="23">
        <v>48.74</v>
      </c>
      <c r="J52" s="23">
        <v>58.78</v>
      </c>
      <c r="K52" s="23">
        <v>65.32</v>
      </c>
      <c r="L52" s="4"/>
      <c r="M52" s="4"/>
      <c r="N52" s="21">
        <v>50</v>
      </c>
      <c r="O52" s="22">
        <f t="shared" si="1"/>
        <v>800</v>
      </c>
      <c r="P52" s="23">
        <v>19.84</v>
      </c>
      <c r="Q52" s="23">
        <v>19.84</v>
      </c>
      <c r="R52" s="23">
        <v>24.77</v>
      </c>
      <c r="S52" s="23">
        <v>29.38</v>
      </c>
      <c r="T52" s="23">
        <v>35.64</v>
      </c>
      <c r="U52" s="23">
        <v>44.73</v>
      </c>
      <c r="V52" s="23">
        <v>53.94</v>
      </c>
      <c r="W52" s="23">
        <v>59.94</v>
      </c>
      <c r="X52" s="4"/>
      <c r="Y52" s="4"/>
      <c r="Z52" s="21">
        <v>50</v>
      </c>
      <c r="AA52" s="22">
        <f t="shared" si="2"/>
        <v>800</v>
      </c>
      <c r="AB52" s="23">
        <v>18.06</v>
      </c>
      <c r="AC52" s="23">
        <v>18.06</v>
      </c>
      <c r="AD52" s="23">
        <v>22.55</v>
      </c>
      <c r="AE52" s="23">
        <v>26.74</v>
      </c>
      <c r="AF52" s="23">
        <v>32.45</v>
      </c>
      <c r="AG52" s="23">
        <v>40.72</v>
      </c>
      <c r="AH52" s="23">
        <v>49.1</v>
      </c>
      <c r="AI52" s="23">
        <v>54.57</v>
      </c>
      <c r="AJ52" s="5"/>
      <c r="AK52" s="5"/>
      <c r="AL52" s="21">
        <v>50</v>
      </c>
      <c r="AM52" s="22">
        <f t="shared" si="3"/>
        <v>800</v>
      </c>
      <c r="AN52" s="23">
        <v>15.05</v>
      </c>
      <c r="AO52" s="23">
        <v>15.05</v>
      </c>
      <c r="AP52" s="23">
        <v>18.79</v>
      </c>
      <c r="AQ52" s="23">
        <v>22.29</v>
      </c>
      <c r="AR52" s="23">
        <v>27.04</v>
      </c>
      <c r="AS52" s="23">
        <v>33.94</v>
      </c>
      <c r="AT52" s="23">
        <v>40.92</v>
      </c>
      <c r="AU52" s="23">
        <v>45.47</v>
      </c>
    </row>
    <row r="53" ht="15.6" spans="2:47">
      <c r="B53" s="21">
        <v>51</v>
      </c>
      <c r="C53" s="22">
        <f t="shared" si="0"/>
        <v>816</v>
      </c>
      <c r="D53" s="23">
        <v>21.76</v>
      </c>
      <c r="E53" s="23">
        <v>21.76</v>
      </c>
      <c r="F53" s="23">
        <v>27.11</v>
      </c>
      <c r="G53" s="23">
        <v>32.24</v>
      </c>
      <c r="H53" s="23">
        <v>39.06</v>
      </c>
      <c r="I53" s="23">
        <v>49.2</v>
      </c>
      <c r="J53" s="23">
        <v>59.31</v>
      </c>
      <c r="K53" s="23">
        <v>66.64</v>
      </c>
      <c r="L53" s="4"/>
      <c r="M53" s="4"/>
      <c r="N53" s="21">
        <v>51</v>
      </c>
      <c r="O53" s="22">
        <f t="shared" si="1"/>
        <v>816</v>
      </c>
      <c r="P53" s="23">
        <v>19.95</v>
      </c>
      <c r="Q53" s="23">
        <v>19.95</v>
      </c>
      <c r="R53" s="23">
        <v>24.85</v>
      </c>
      <c r="S53" s="23">
        <v>29.55</v>
      </c>
      <c r="T53" s="23">
        <v>35.81</v>
      </c>
      <c r="U53" s="23">
        <v>45.1</v>
      </c>
      <c r="V53" s="23">
        <v>54.37</v>
      </c>
      <c r="W53" s="23">
        <v>61.09</v>
      </c>
      <c r="X53" s="4"/>
      <c r="Y53" s="4"/>
      <c r="Z53" s="21">
        <v>51</v>
      </c>
      <c r="AA53" s="22">
        <f t="shared" si="2"/>
        <v>816</v>
      </c>
      <c r="AB53" s="23">
        <v>18.13</v>
      </c>
      <c r="AC53" s="23">
        <v>18.13</v>
      </c>
      <c r="AD53" s="23">
        <v>22.59</v>
      </c>
      <c r="AE53" s="23">
        <v>26.86</v>
      </c>
      <c r="AF53" s="23">
        <v>32.55</v>
      </c>
      <c r="AG53" s="23">
        <v>41</v>
      </c>
      <c r="AH53" s="23">
        <v>49.42</v>
      </c>
      <c r="AI53" s="23">
        <v>55.53</v>
      </c>
      <c r="AJ53" s="5"/>
      <c r="AK53" s="5"/>
      <c r="AL53" s="21">
        <v>51</v>
      </c>
      <c r="AM53" s="22">
        <f t="shared" si="3"/>
        <v>816</v>
      </c>
      <c r="AN53" s="23">
        <v>15.09</v>
      </c>
      <c r="AO53" s="23">
        <v>15.09</v>
      </c>
      <c r="AP53" s="23">
        <v>18.79</v>
      </c>
      <c r="AQ53" s="23">
        <v>22.34</v>
      </c>
      <c r="AR53" s="23">
        <v>27.09</v>
      </c>
      <c r="AS53" s="23">
        <v>34.11</v>
      </c>
      <c r="AT53" s="23">
        <v>41.13</v>
      </c>
      <c r="AU53" s="23">
        <v>46.19</v>
      </c>
    </row>
    <row r="54" ht="15.6" spans="2:47">
      <c r="B54" s="21">
        <v>52</v>
      </c>
      <c r="C54" s="22">
        <f t="shared" si="0"/>
        <v>832</v>
      </c>
      <c r="D54" s="23">
        <v>21.78</v>
      </c>
      <c r="E54" s="23">
        <v>21.78</v>
      </c>
      <c r="F54" s="23">
        <v>27.14</v>
      </c>
      <c r="G54" s="23">
        <v>32.25</v>
      </c>
      <c r="H54" s="23">
        <v>39.09</v>
      </c>
      <c r="I54" s="23">
        <v>49.22</v>
      </c>
      <c r="J54" s="23">
        <v>59.33</v>
      </c>
      <c r="K54" s="23">
        <v>66.64</v>
      </c>
      <c r="L54" s="4"/>
      <c r="M54" s="4"/>
      <c r="N54" s="21">
        <v>52</v>
      </c>
      <c r="O54" s="22">
        <f t="shared" si="1"/>
        <v>832</v>
      </c>
      <c r="P54" s="23">
        <v>19.97</v>
      </c>
      <c r="Q54" s="23">
        <v>19.97</v>
      </c>
      <c r="R54" s="23">
        <v>24.88</v>
      </c>
      <c r="S54" s="23">
        <v>29.56</v>
      </c>
      <c r="T54" s="23">
        <v>35.83</v>
      </c>
      <c r="U54" s="23">
        <v>45.12</v>
      </c>
      <c r="V54" s="23">
        <v>54.39</v>
      </c>
      <c r="W54" s="23">
        <v>61.09</v>
      </c>
      <c r="X54" s="4"/>
      <c r="Y54" s="4"/>
      <c r="Z54" s="21">
        <v>52</v>
      </c>
      <c r="AA54" s="22">
        <f t="shared" si="2"/>
        <v>832</v>
      </c>
      <c r="AB54" s="23">
        <v>18.15</v>
      </c>
      <c r="AC54" s="23">
        <v>18.15</v>
      </c>
      <c r="AD54" s="23">
        <v>22.61</v>
      </c>
      <c r="AE54" s="23">
        <v>26.87</v>
      </c>
      <c r="AF54" s="23">
        <v>32.57</v>
      </c>
      <c r="AG54" s="23">
        <v>41.01</v>
      </c>
      <c r="AH54" s="23">
        <v>49.44</v>
      </c>
      <c r="AI54" s="23">
        <v>55.53</v>
      </c>
      <c r="AJ54" s="5"/>
      <c r="AK54" s="5"/>
      <c r="AL54" s="21">
        <v>52</v>
      </c>
      <c r="AM54" s="22">
        <f t="shared" si="3"/>
        <v>832</v>
      </c>
      <c r="AN54" s="23">
        <v>15.09</v>
      </c>
      <c r="AO54" s="23">
        <v>15.09</v>
      </c>
      <c r="AP54" s="23">
        <v>18.81</v>
      </c>
      <c r="AQ54" s="23">
        <v>22.35</v>
      </c>
      <c r="AR54" s="23">
        <v>27.09</v>
      </c>
      <c r="AS54" s="23">
        <v>34.12</v>
      </c>
      <c r="AT54" s="23">
        <v>41.13</v>
      </c>
      <c r="AU54" s="23">
        <v>46.2</v>
      </c>
    </row>
    <row r="55" ht="15.6" spans="2:47">
      <c r="B55" s="21">
        <v>53</v>
      </c>
      <c r="C55" s="22">
        <f t="shared" si="0"/>
        <v>848</v>
      </c>
      <c r="D55" s="23">
        <v>21.78</v>
      </c>
      <c r="E55" s="23">
        <v>21.78</v>
      </c>
      <c r="F55" s="23">
        <v>27.2</v>
      </c>
      <c r="G55" s="23">
        <v>32.26</v>
      </c>
      <c r="H55" s="23">
        <v>39.32</v>
      </c>
      <c r="I55" s="23">
        <v>49.22</v>
      </c>
      <c r="J55" s="23">
        <v>59.34</v>
      </c>
      <c r="K55" s="23">
        <v>67.29</v>
      </c>
      <c r="L55" s="4"/>
      <c r="M55" s="4"/>
      <c r="N55" s="21">
        <v>53</v>
      </c>
      <c r="O55" s="22">
        <f t="shared" si="1"/>
        <v>848</v>
      </c>
      <c r="P55" s="23">
        <v>19.97</v>
      </c>
      <c r="Q55" s="23">
        <v>19.97</v>
      </c>
      <c r="R55" s="23">
        <v>24.93</v>
      </c>
      <c r="S55" s="23">
        <v>29.57</v>
      </c>
      <c r="T55" s="23">
        <v>36.04</v>
      </c>
      <c r="U55" s="23">
        <v>45.12</v>
      </c>
      <c r="V55" s="23">
        <v>54.4</v>
      </c>
      <c r="W55" s="23">
        <v>61.68</v>
      </c>
      <c r="X55" s="4"/>
      <c r="Y55" s="4"/>
      <c r="Z55" s="21">
        <v>53</v>
      </c>
      <c r="AA55" s="22">
        <f t="shared" si="2"/>
        <v>848</v>
      </c>
      <c r="AB55" s="23">
        <v>18.15</v>
      </c>
      <c r="AC55" s="23">
        <v>18.15</v>
      </c>
      <c r="AD55" s="23">
        <v>22.66</v>
      </c>
      <c r="AE55" s="23">
        <v>26.88</v>
      </c>
      <c r="AF55" s="23">
        <v>32.76</v>
      </c>
      <c r="AG55" s="23">
        <v>41.01</v>
      </c>
      <c r="AH55" s="23">
        <v>49.45</v>
      </c>
      <c r="AI55" s="23">
        <v>56.07</v>
      </c>
      <c r="AJ55" s="5"/>
      <c r="AK55" s="5"/>
      <c r="AL55" s="21">
        <v>53</v>
      </c>
      <c r="AM55" s="22">
        <f t="shared" si="3"/>
        <v>848</v>
      </c>
      <c r="AN55" s="23">
        <v>15.1</v>
      </c>
      <c r="AO55" s="23">
        <v>15.1</v>
      </c>
      <c r="AP55" s="23">
        <v>18.84</v>
      </c>
      <c r="AQ55" s="23">
        <v>22.36</v>
      </c>
      <c r="AR55" s="23">
        <v>27.26</v>
      </c>
      <c r="AS55" s="23">
        <v>34.12</v>
      </c>
      <c r="AT55" s="23">
        <v>41.14</v>
      </c>
      <c r="AU55" s="23">
        <v>46.65</v>
      </c>
    </row>
    <row r="56" ht="15.6" spans="2:47">
      <c r="B56" s="21">
        <v>54</v>
      </c>
      <c r="C56" s="22">
        <f t="shared" si="0"/>
        <v>864</v>
      </c>
      <c r="D56" s="23">
        <v>21.8</v>
      </c>
      <c r="E56" s="23">
        <v>21.8</v>
      </c>
      <c r="F56" s="23">
        <v>27.22</v>
      </c>
      <c r="G56" s="23">
        <v>32.32</v>
      </c>
      <c r="H56" s="23">
        <v>39.4</v>
      </c>
      <c r="I56" s="23">
        <v>49.23</v>
      </c>
      <c r="J56" s="23">
        <v>59.37</v>
      </c>
      <c r="K56" s="23">
        <v>67.32</v>
      </c>
      <c r="L56" s="4"/>
      <c r="M56" s="4"/>
      <c r="N56" s="21">
        <v>54</v>
      </c>
      <c r="O56" s="22">
        <f t="shared" si="1"/>
        <v>864</v>
      </c>
      <c r="P56" s="23">
        <v>19.98</v>
      </c>
      <c r="Q56" s="23">
        <v>19.98</v>
      </c>
      <c r="R56" s="23">
        <v>24.95</v>
      </c>
      <c r="S56" s="23">
        <v>29.63</v>
      </c>
      <c r="T56" s="23">
        <v>36.12</v>
      </c>
      <c r="U56" s="23">
        <v>45.13</v>
      </c>
      <c r="V56" s="23">
        <v>54.42</v>
      </c>
      <c r="W56" s="23">
        <v>61.71</v>
      </c>
      <c r="X56" s="4"/>
      <c r="Y56" s="4"/>
      <c r="Z56" s="21">
        <v>54</v>
      </c>
      <c r="AA56" s="22">
        <f t="shared" si="2"/>
        <v>864</v>
      </c>
      <c r="AB56" s="23">
        <v>18.16</v>
      </c>
      <c r="AC56" s="23">
        <v>18.16</v>
      </c>
      <c r="AD56" s="23">
        <v>22.68</v>
      </c>
      <c r="AE56" s="23">
        <v>26.93</v>
      </c>
      <c r="AF56" s="23">
        <v>32.83</v>
      </c>
      <c r="AG56" s="23">
        <v>41.02</v>
      </c>
      <c r="AH56" s="23">
        <v>49.47</v>
      </c>
      <c r="AI56" s="23">
        <v>56.1</v>
      </c>
      <c r="AJ56" s="5"/>
      <c r="AK56" s="5"/>
      <c r="AL56" s="21">
        <v>54</v>
      </c>
      <c r="AM56" s="22">
        <f t="shared" si="3"/>
        <v>864</v>
      </c>
      <c r="AN56" s="23">
        <v>15.1</v>
      </c>
      <c r="AO56" s="23">
        <v>15.1</v>
      </c>
      <c r="AP56" s="23">
        <v>18.88</v>
      </c>
      <c r="AQ56" s="23">
        <v>22.4</v>
      </c>
      <c r="AR56" s="23">
        <v>27.31</v>
      </c>
      <c r="AS56" s="23">
        <v>34.13</v>
      </c>
      <c r="AT56" s="23">
        <v>41.15</v>
      </c>
      <c r="AU56" s="23">
        <v>46.68</v>
      </c>
    </row>
    <row r="57" ht="15.6" spans="2:47">
      <c r="B57" s="21">
        <v>55</v>
      </c>
      <c r="C57" s="22">
        <f t="shared" si="0"/>
        <v>880</v>
      </c>
      <c r="D57" s="23">
        <v>21.8</v>
      </c>
      <c r="E57" s="23">
        <v>21.8</v>
      </c>
      <c r="F57" s="23">
        <v>27.28</v>
      </c>
      <c r="G57" s="23">
        <v>32.32</v>
      </c>
      <c r="H57" s="23">
        <v>39.59</v>
      </c>
      <c r="I57" s="23">
        <v>49.29</v>
      </c>
      <c r="J57" s="23">
        <v>59.37</v>
      </c>
      <c r="K57" s="23">
        <v>67.4</v>
      </c>
      <c r="L57" s="4"/>
      <c r="M57" s="4"/>
      <c r="N57" s="21">
        <v>55</v>
      </c>
      <c r="O57" s="22">
        <f t="shared" si="1"/>
        <v>880</v>
      </c>
      <c r="P57" s="23">
        <v>19.98</v>
      </c>
      <c r="Q57" s="23">
        <v>19.98</v>
      </c>
      <c r="R57" s="23">
        <v>25.01</v>
      </c>
      <c r="S57" s="23">
        <v>29.63</v>
      </c>
      <c r="T57" s="23">
        <v>36.29</v>
      </c>
      <c r="U57" s="23">
        <v>45.18</v>
      </c>
      <c r="V57" s="23">
        <v>54.42</v>
      </c>
      <c r="W57" s="23">
        <v>61.78</v>
      </c>
      <c r="X57" s="4"/>
      <c r="Y57" s="4"/>
      <c r="Z57" s="21">
        <v>55</v>
      </c>
      <c r="AA57" s="22">
        <f t="shared" si="2"/>
        <v>880</v>
      </c>
      <c r="AB57" s="23">
        <v>18.16</v>
      </c>
      <c r="AC57" s="23">
        <v>18.16</v>
      </c>
      <c r="AD57" s="23">
        <v>22.73</v>
      </c>
      <c r="AE57" s="23">
        <v>26.93</v>
      </c>
      <c r="AF57" s="23">
        <v>32.99</v>
      </c>
      <c r="AG57" s="23">
        <v>41.07</v>
      </c>
      <c r="AH57" s="23">
        <v>49.47</v>
      </c>
      <c r="AI57" s="23">
        <v>56.16</v>
      </c>
      <c r="AJ57" s="5"/>
      <c r="AK57" s="5"/>
      <c r="AL57" s="21">
        <v>55</v>
      </c>
      <c r="AM57" s="22">
        <f t="shared" si="3"/>
        <v>880</v>
      </c>
      <c r="AN57" s="23">
        <v>15.11</v>
      </c>
      <c r="AO57" s="23">
        <v>15.11</v>
      </c>
      <c r="AP57" s="23">
        <v>18.9</v>
      </c>
      <c r="AQ57" s="23">
        <v>22.41</v>
      </c>
      <c r="AR57" s="23">
        <v>27.45</v>
      </c>
      <c r="AS57" s="23">
        <v>34.17</v>
      </c>
      <c r="AT57" s="23">
        <v>41.16</v>
      </c>
      <c r="AU57" s="23">
        <v>46.72</v>
      </c>
    </row>
    <row r="58" ht="15.6" spans="2:47">
      <c r="B58" s="21">
        <v>56</v>
      </c>
      <c r="C58" s="22">
        <f t="shared" si="0"/>
        <v>896</v>
      </c>
      <c r="D58" s="23">
        <v>21.82</v>
      </c>
      <c r="E58" s="23">
        <v>21.82</v>
      </c>
      <c r="F58" s="23">
        <v>27.3</v>
      </c>
      <c r="G58" s="23">
        <v>32.37</v>
      </c>
      <c r="H58" s="23">
        <v>39.59</v>
      </c>
      <c r="I58" s="23">
        <v>49.3</v>
      </c>
      <c r="J58" s="23">
        <v>59.42</v>
      </c>
      <c r="K58" s="23">
        <v>68.15</v>
      </c>
      <c r="L58" s="4"/>
      <c r="M58" s="4"/>
      <c r="N58" s="21">
        <v>56</v>
      </c>
      <c r="O58" s="22">
        <f t="shared" si="1"/>
        <v>896</v>
      </c>
      <c r="P58" s="23">
        <v>20</v>
      </c>
      <c r="Q58" s="23">
        <v>20</v>
      </c>
      <c r="R58" s="23">
        <v>25.03</v>
      </c>
      <c r="S58" s="23">
        <v>29.67</v>
      </c>
      <c r="T58" s="23">
        <v>36.29</v>
      </c>
      <c r="U58" s="23">
        <v>45.19</v>
      </c>
      <c r="V58" s="23">
        <v>54.47</v>
      </c>
      <c r="W58" s="23">
        <v>62.47</v>
      </c>
      <c r="X58" s="4"/>
      <c r="Y58" s="4"/>
      <c r="Z58" s="21">
        <v>56</v>
      </c>
      <c r="AA58" s="22">
        <f t="shared" si="2"/>
        <v>896</v>
      </c>
      <c r="AB58" s="23">
        <v>18.18</v>
      </c>
      <c r="AC58" s="23">
        <v>18.18</v>
      </c>
      <c r="AD58" s="23">
        <v>22.75</v>
      </c>
      <c r="AE58" s="23">
        <v>26.97</v>
      </c>
      <c r="AF58" s="23">
        <v>32.99</v>
      </c>
      <c r="AG58" s="23">
        <v>41.08</v>
      </c>
      <c r="AH58" s="23">
        <v>49.51</v>
      </c>
      <c r="AI58" s="23">
        <v>56.79</v>
      </c>
      <c r="AJ58" s="5"/>
      <c r="AK58" s="5"/>
      <c r="AL58" s="21">
        <v>56</v>
      </c>
      <c r="AM58" s="22">
        <f t="shared" si="3"/>
        <v>896</v>
      </c>
      <c r="AN58" s="23">
        <v>15.13</v>
      </c>
      <c r="AO58" s="23">
        <v>15.13</v>
      </c>
      <c r="AP58" s="23">
        <v>18.93</v>
      </c>
      <c r="AQ58" s="23">
        <v>22.44</v>
      </c>
      <c r="AR58" s="23">
        <v>27.45</v>
      </c>
      <c r="AS58" s="23">
        <v>34.18</v>
      </c>
      <c r="AT58" s="23">
        <v>41.2</v>
      </c>
      <c r="AU58" s="23">
        <v>47.25</v>
      </c>
    </row>
    <row r="59" ht="15.6" spans="2:47">
      <c r="B59" s="21">
        <v>57</v>
      </c>
      <c r="C59" s="22">
        <f t="shared" si="0"/>
        <v>912</v>
      </c>
      <c r="D59" s="23">
        <v>22.22</v>
      </c>
      <c r="E59" s="23">
        <v>22.22</v>
      </c>
      <c r="F59" s="23">
        <v>27.41</v>
      </c>
      <c r="G59" s="23">
        <v>32.42</v>
      </c>
      <c r="H59" s="23">
        <v>40.78</v>
      </c>
      <c r="I59" s="23">
        <v>49.35</v>
      </c>
      <c r="J59" s="23">
        <v>59.46</v>
      </c>
      <c r="K59" s="23">
        <v>68.84</v>
      </c>
      <c r="L59" s="4"/>
      <c r="M59" s="4"/>
      <c r="N59" s="21">
        <v>57</v>
      </c>
      <c r="O59" s="22">
        <f t="shared" si="1"/>
        <v>912</v>
      </c>
      <c r="P59" s="23">
        <v>20.37</v>
      </c>
      <c r="Q59" s="23">
        <v>20.37</v>
      </c>
      <c r="R59" s="23">
        <v>25.13</v>
      </c>
      <c r="S59" s="23">
        <v>29.72</v>
      </c>
      <c r="T59" s="23">
        <v>37.38</v>
      </c>
      <c r="U59" s="23">
        <v>45.24</v>
      </c>
      <c r="V59" s="23">
        <v>54.51</v>
      </c>
      <c r="W59" s="23">
        <v>63.1</v>
      </c>
      <c r="X59" s="4"/>
      <c r="Y59" s="4"/>
      <c r="Z59" s="21">
        <v>57</v>
      </c>
      <c r="AA59" s="22">
        <f t="shared" si="2"/>
        <v>912</v>
      </c>
      <c r="AB59" s="23">
        <v>18.51</v>
      </c>
      <c r="AC59" s="23">
        <v>18.51</v>
      </c>
      <c r="AD59" s="23">
        <v>22.84</v>
      </c>
      <c r="AE59" s="23">
        <v>27.01</v>
      </c>
      <c r="AF59" s="23">
        <v>33.98</v>
      </c>
      <c r="AG59" s="23">
        <v>41.12</v>
      </c>
      <c r="AH59" s="23">
        <v>49.55</v>
      </c>
      <c r="AI59" s="23">
        <v>57.36</v>
      </c>
      <c r="AJ59" s="5"/>
      <c r="AK59" s="5"/>
      <c r="AL59" s="21">
        <v>57</v>
      </c>
      <c r="AM59" s="22">
        <f t="shared" si="3"/>
        <v>912</v>
      </c>
      <c r="AN59" s="23">
        <v>15.4</v>
      </c>
      <c r="AO59" s="23">
        <v>15.4</v>
      </c>
      <c r="AP59" s="23">
        <v>19.01</v>
      </c>
      <c r="AQ59" s="23">
        <v>22.47</v>
      </c>
      <c r="AR59" s="23">
        <v>28.27</v>
      </c>
      <c r="AS59" s="23">
        <v>34.21</v>
      </c>
      <c r="AT59" s="23">
        <v>41.22</v>
      </c>
      <c r="AU59" s="23">
        <v>47.73</v>
      </c>
    </row>
    <row r="60" ht="15.6" spans="2:47">
      <c r="B60" s="21">
        <v>58</v>
      </c>
      <c r="C60" s="22">
        <f t="shared" si="0"/>
        <v>928</v>
      </c>
      <c r="D60" s="23">
        <v>22.22</v>
      </c>
      <c r="E60" s="23">
        <v>22.22</v>
      </c>
      <c r="F60" s="23">
        <v>27.42</v>
      </c>
      <c r="G60" s="23">
        <v>32.42</v>
      </c>
      <c r="H60" s="23">
        <v>40.82</v>
      </c>
      <c r="I60" s="23">
        <v>49.37</v>
      </c>
      <c r="J60" s="23">
        <v>59.51</v>
      </c>
      <c r="K60" s="23">
        <v>69.42</v>
      </c>
      <c r="L60" s="4"/>
      <c r="M60" s="4"/>
      <c r="N60" s="21">
        <v>58</v>
      </c>
      <c r="O60" s="22">
        <f t="shared" si="1"/>
        <v>928</v>
      </c>
      <c r="P60" s="23">
        <v>20.37</v>
      </c>
      <c r="Q60" s="23">
        <v>20.37</v>
      </c>
      <c r="R60" s="23">
        <v>25.14</v>
      </c>
      <c r="S60" s="23">
        <v>29.72</v>
      </c>
      <c r="T60" s="23">
        <v>37.42</v>
      </c>
      <c r="U60" s="23">
        <v>45.26</v>
      </c>
      <c r="V60" s="23">
        <v>54.55</v>
      </c>
      <c r="W60" s="23">
        <v>63.64</v>
      </c>
      <c r="X60" s="4"/>
      <c r="Y60" s="4"/>
      <c r="Z60" s="21">
        <v>58</v>
      </c>
      <c r="AA60" s="22">
        <f t="shared" si="2"/>
        <v>928</v>
      </c>
      <c r="AB60" s="23">
        <v>18.51</v>
      </c>
      <c r="AC60" s="23">
        <v>18.51</v>
      </c>
      <c r="AD60" s="23">
        <v>22.85</v>
      </c>
      <c r="AE60" s="23">
        <v>27.01</v>
      </c>
      <c r="AF60" s="23">
        <v>34.01</v>
      </c>
      <c r="AG60" s="23">
        <v>41.14</v>
      </c>
      <c r="AH60" s="23">
        <v>49.59</v>
      </c>
      <c r="AI60" s="23">
        <v>57.85</v>
      </c>
      <c r="AJ60" s="5"/>
      <c r="AK60" s="5"/>
      <c r="AL60" s="21">
        <v>58</v>
      </c>
      <c r="AM60" s="22">
        <f t="shared" si="3"/>
        <v>928</v>
      </c>
      <c r="AN60" s="23">
        <v>15.4</v>
      </c>
      <c r="AO60" s="23">
        <v>15.4</v>
      </c>
      <c r="AP60" s="23">
        <v>19.01</v>
      </c>
      <c r="AQ60" s="23">
        <v>22.47</v>
      </c>
      <c r="AR60" s="23">
        <v>28.3</v>
      </c>
      <c r="AS60" s="23">
        <v>34.22</v>
      </c>
      <c r="AT60" s="23">
        <v>41.26</v>
      </c>
      <c r="AU60" s="23">
        <v>48.14</v>
      </c>
    </row>
    <row r="61" ht="15.6" spans="2:47">
      <c r="B61" s="21">
        <v>59</v>
      </c>
      <c r="C61" s="22">
        <f t="shared" si="0"/>
        <v>944</v>
      </c>
      <c r="D61" s="23">
        <v>22.29</v>
      </c>
      <c r="E61" s="23">
        <v>22.29</v>
      </c>
      <c r="F61" s="23">
        <v>27.45</v>
      </c>
      <c r="G61" s="23">
        <v>32.66</v>
      </c>
      <c r="H61" s="23">
        <v>40.83</v>
      </c>
      <c r="I61" s="23">
        <v>49.62</v>
      </c>
      <c r="J61" s="23">
        <v>59.56</v>
      </c>
      <c r="K61" s="23">
        <v>70.59</v>
      </c>
      <c r="L61" s="4"/>
      <c r="M61" s="4"/>
      <c r="N61" s="21">
        <v>59</v>
      </c>
      <c r="O61" s="22">
        <f t="shared" si="1"/>
        <v>944</v>
      </c>
      <c r="P61" s="23">
        <v>20.43</v>
      </c>
      <c r="Q61" s="23">
        <v>20.43</v>
      </c>
      <c r="R61" s="23">
        <v>25.16</v>
      </c>
      <c r="S61" s="23">
        <v>29.94</v>
      </c>
      <c r="T61" s="23">
        <v>37.43</v>
      </c>
      <c r="U61" s="23">
        <v>45.49</v>
      </c>
      <c r="V61" s="23">
        <v>54.6</v>
      </c>
      <c r="W61" s="23">
        <v>64.71</v>
      </c>
      <c r="X61" s="4"/>
      <c r="Y61" s="4"/>
      <c r="Z61" s="21">
        <v>59</v>
      </c>
      <c r="AA61" s="22">
        <f t="shared" si="2"/>
        <v>944</v>
      </c>
      <c r="AB61" s="23">
        <v>18.57</v>
      </c>
      <c r="AC61" s="23">
        <v>18.57</v>
      </c>
      <c r="AD61" s="23">
        <v>22.87</v>
      </c>
      <c r="AE61" s="23">
        <v>27.21</v>
      </c>
      <c r="AF61" s="23">
        <v>34.02</v>
      </c>
      <c r="AG61" s="23">
        <v>41.35</v>
      </c>
      <c r="AH61" s="23">
        <v>49.63</v>
      </c>
      <c r="AI61" s="23">
        <v>58.82</v>
      </c>
      <c r="AJ61" s="5"/>
      <c r="AK61" s="5"/>
      <c r="AL61" s="21">
        <v>59</v>
      </c>
      <c r="AM61" s="22">
        <f t="shared" si="3"/>
        <v>944</v>
      </c>
      <c r="AN61" s="23">
        <v>15.44</v>
      </c>
      <c r="AO61" s="23">
        <v>15.44</v>
      </c>
      <c r="AP61" s="23">
        <v>19.02</v>
      </c>
      <c r="AQ61" s="23">
        <v>22.64</v>
      </c>
      <c r="AR61" s="23">
        <v>28.3</v>
      </c>
      <c r="AS61" s="23">
        <v>34.4</v>
      </c>
      <c r="AT61" s="23">
        <v>41.29</v>
      </c>
      <c r="AU61" s="23">
        <v>48.94</v>
      </c>
    </row>
    <row r="62" ht="15.6" spans="2:47">
      <c r="B62" s="21">
        <v>60</v>
      </c>
      <c r="C62" s="22">
        <f t="shared" si="0"/>
        <v>960</v>
      </c>
      <c r="D62" s="23">
        <v>22.85</v>
      </c>
      <c r="E62" s="23">
        <v>22.85</v>
      </c>
      <c r="F62" s="23">
        <v>28.5</v>
      </c>
      <c r="G62" s="23">
        <v>33.21</v>
      </c>
      <c r="H62" s="23">
        <v>42.24</v>
      </c>
      <c r="I62" s="23">
        <v>50.55</v>
      </c>
      <c r="J62" s="23">
        <v>59.62</v>
      </c>
      <c r="K62" s="23">
        <v>71.02</v>
      </c>
      <c r="L62" s="4"/>
      <c r="M62" s="4"/>
      <c r="N62" s="21">
        <v>60</v>
      </c>
      <c r="O62" s="22">
        <f t="shared" si="1"/>
        <v>960</v>
      </c>
      <c r="P62" s="23">
        <v>20.95</v>
      </c>
      <c r="Q62" s="23">
        <v>20.95</v>
      </c>
      <c r="R62" s="23">
        <v>26.13</v>
      </c>
      <c r="S62" s="23">
        <v>30.44</v>
      </c>
      <c r="T62" s="23">
        <v>38.72</v>
      </c>
      <c r="U62" s="23">
        <v>46.34</v>
      </c>
      <c r="V62" s="23">
        <v>54.65</v>
      </c>
      <c r="W62" s="23">
        <v>65.1</v>
      </c>
      <c r="X62" s="4"/>
      <c r="Y62" s="4"/>
      <c r="Z62" s="21">
        <v>60</v>
      </c>
      <c r="AA62" s="22">
        <f t="shared" si="2"/>
        <v>960</v>
      </c>
      <c r="AB62" s="23">
        <v>19.04</v>
      </c>
      <c r="AC62" s="23">
        <v>19.04</v>
      </c>
      <c r="AD62" s="23">
        <v>23.75</v>
      </c>
      <c r="AE62" s="23">
        <v>27.67</v>
      </c>
      <c r="AF62" s="23">
        <v>35.2</v>
      </c>
      <c r="AG62" s="23">
        <v>42.12</v>
      </c>
      <c r="AH62" s="23">
        <v>49.68</v>
      </c>
      <c r="AI62" s="23">
        <v>59.18</v>
      </c>
      <c r="AJ62" s="5"/>
      <c r="AK62" s="5"/>
      <c r="AL62" s="21">
        <v>60</v>
      </c>
      <c r="AM62" s="22">
        <f t="shared" si="3"/>
        <v>960</v>
      </c>
      <c r="AN62" s="23">
        <v>15.84</v>
      </c>
      <c r="AO62" s="23">
        <v>15.84</v>
      </c>
      <c r="AP62" s="23">
        <v>19.76</v>
      </c>
      <c r="AQ62" s="23">
        <v>23.02</v>
      </c>
      <c r="AR62" s="23">
        <v>29.28</v>
      </c>
      <c r="AS62" s="23">
        <v>35.04</v>
      </c>
      <c r="AT62" s="23">
        <v>41.33</v>
      </c>
      <c r="AU62" s="23">
        <v>49.25</v>
      </c>
    </row>
    <row r="63" ht="15.6" spans="2:47">
      <c r="B63" s="21">
        <v>61</v>
      </c>
      <c r="C63" s="22">
        <f t="shared" si="0"/>
        <v>976</v>
      </c>
      <c r="D63" s="23">
        <v>22.85</v>
      </c>
      <c r="E63" s="23">
        <v>22.85</v>
      </c>
      <c r="F63" s="23">
        <v>28.59</v>
      </c>
      <c r="G63" s="23">
        <v>33.47</v>
      </c>
      <c r="H63" s="23">
        <v>42.38</v>
      </c>
      <c r="I63" s="23">
        <v>50.56</v>
      </c>
      <c r="J63" s="23">
        <v>59.62</v>
      </c>
      <c r="K63" s="23">
        <v>71.21</v>
      </c>
      <c r="L63" s="4"/>
      <c r="M63" s="4"/>
      <c r="N63" s="21">
        <v>61</v>
      </c>
      <c r="O63" s="22">
        <f t="shared" si="1"/>
        <v>976</v>
      </c>
      <c r="P63" s="23">
        <v>20.95</v>
      </c>
      <c r="Q63" s="23">
        <v>20.95</v>
      </c>
      <c r="R63" s="23">
        <v>26.21</v>
      </c>
      <c r="S63" s="23">
        <v>30.68</v>
      </c>
      <c r="T63" s="23">
        <v>38.85</v>
      </c>
      <c r="U63" s="23">
        <v>46.35</v>
      </c>
      <c r="V63" s="23">
        <v>54.65</v>
      </c>
      <c r="W63" s="23">
        <v>65.28</v>
      </c>
      <c r="X63" s="4"/>
      <c r="Y63" s="4"/>
      <c r="Z63" s="21">
        <v>61</v>
      </c>
      <c r="AA63" s="22">
        <f t="shared" si="2"/>
        <v>976</v>
      </c>
      <c r="AB63" s="23">
        <v>19.04</v>
      </c>
      <c r="AC63" s="23">
        <v>19.04</v>
      </c>
      <c r="AD63" s="23">
        <v>23.82</v>
      </c>
      <c r="AE63" s="23">
        <v>27.89</v>
      </c>
      <c r="AF63" s="23">
        <v>35.31</v>
      </c>
      <c r="AG63" s="23">
        <v>42.13</v>
      </c>
      <c r="AH63" s="23">
        <v>49.68</v>
      </c>
      <c r="AI63" s="23">
        <v>59.34</v>
      </c>
      <c r="AJ63" s="5"/>
      <c r="AK63" s="5"/>
      <c r="AL63" s="21">
        <v>61</v>
      </c>
      <c r="AM63" s="22">
        <f t="shared" si="3"/>
        <v>976</v>
      </c>
      <c r="AN63" s="23">
        <v>15.84</v>
      </c>
      <c r="AO63" s="23">
        <v>15.84</v>
      </c>
      <c r="AP63" s="23">
        <v>19.82</v>
      </c>
      <c r="AQ63" s="23">
        <v>23.21</v>
      </c>
      <c r="AR63" s="23">
        <v>29.38</v>
      </c>
      <c r="AS63" s="23">
        <v>35.05</v>
      </c>
      <c r="AT63" s="23">
        <v>41.33</v>
      </c>
      <c r="AU63" s="23">
        <v>49.37</v>
      </c>
    </row>
    <row r="64" ht="15.6" spans="2:47">
      <c r="B64" s="21">
        <v>62</v>
      </c>
      <c r="C64" s="22">
        <f t="shared" si="0"/>
        <v>992</v>
      </c>
      <c r="D64" s="23">
        <v>23.8</v>
      </c>
      <c r="E64" s="23">
        <v>23.8</v>
      </c>
      <c r="F64" s="23">
        <v>30.62</v>
      </c>
      <c r="G64" s="23">
        <v>34.08</v>
      </c>
      <c r="H64" s="23">
        <v>43.59</v>
      </c>
      <c r="I64" s="23">
        <v>51.33</v>
      </c>
      <c r="J64" s="23">
        <v>60.54</v>
      </c>
      <c r="K64" s="23">
        <v>71.91</v>
      </c>
      <c r="L64" s="4"/>
      <c r="M64" s="4"/>
      <c r="N64" s="21">
        <v>62</v>
      </c>
      <c r="O64" s="22">
        <f t="shared" si="1"/>
        <v>992</v>
      </c>
      <c r="P64" s="23">
        <v>21.82</v>
      </c>
      <c r="Q64" s="23">
        <v>21.82</v>
      </c>
      <c r="R64" s="23">
        <v>28.07</v>
      </c>
      <c r="S64" s="23">
        <v>31.24</v>
      </c>
      <c r="T64" s="23">
        <v>39.96</v>
      </c>
      <c r="U64" s="23">
        <v>47.05</v>
      </c>
      <c r="V64" s="23">
        <v>55.5</v>
      </c>
      <c r="W64" s="23">
        <v>65.92</v>
      </c>
      <c r="X64" s="4"/>
      <c r="Y64" s="4"/>
      <c r="Z64" s="21">
        <v>62</v>
      </c>
      <c r="AA64" s="22">
        <f t="shared" si="2"/>
        <v>992</v>
      </c>
      <c r="AB64" s="23">
        <v>19.83</v>
      </c>
      <c r="AC64" s="23">
        <v>19.83</v>
      </c>
      <c r="AD64" s="23">
        <v>25.51</v>
      </c>
      <c r="AE64" s="23">
        <v>28.4</v>
      </c>
      <c r="AF64" s="23">
        <v>36.32</v>
      </c>
      <c r="AG64" s="23">
        <v>42.77</v>
      </c>
      <c r="AH64" s="23">
        <v>50.45</v>
      </c>
      <c r="AI64" s="23">
        <v>59.92</v>
      </c>
      <c r="AJ64" s="5"/>
      <c r="AK64" s="5"/>
      <c r="AL64" s="21">
        <v>62</v>
      </c>
      <c r="AM64" s="22">
        <f t="shared" si="3"/>
        <v>992</v>
      </c>
      <c r="AN64" s="23">
        <v>16.5</v>
      </c>
      <c r="AO64" s="23">
        <v>16.5</v>
      </c>
      <c r="AP64" s="23">
        <v>21.22</v>
      </c>
      <c r="AQ64" s="23">
        <v>23.63</v>
      </c>
      <c r="AR64" s="23">
        <v>30.22</v>
      </c>
      <c r="AS64" s="23">
        <v>35.6</v>
      </c>
      <c r="AT64" s="23">
        <v>41.98</v>
      </c>
      <c r="AU64" s="23">
        <v>49.85</v>
      </c>
    </row>
    <row r="65" ht="15.6" spans="2:47">
      <c r="B65" s="21">
        <v>63</v>
      </c>
      <c r="C65" s="22">
        <f t="shared" si="0"/>
        <v>1008</v>
      </c>
      <c r="D65" s="23">
        <v>23.8</v>
      </c>
      <c r="E65" s="23">
        <v>23.8</v>
      </c>
      <c r="F65" s="23">
        <v>30.62</v>
      </c>
      <c r="G65" s="23">
        <v>34.42</v>
      </c>
      <c r="H65" s="23">
        <v>43.6</v>
      </c>
      <c r="I65" s="23">
        <v>51.69</v>
      </c>
      <c r="J65" s="23">
        <v>61.05</v>
      </c>
      <c r="K65" s="23">
        <v>72.33</v>
      </c>
      <c r="L65" s="4"/>
      <c r="M65" s="4"/>
      <c r="N65" s="21">
        <v>63</v>
      </c>
      <c r="O65" s="22">
        <f t="shared" si="1"/>
        <v>1008</v>
      </c>
      <c r="P65" s="23">
        <v>21.82</v>
      </c>
      <c r="Q65" s="23">
        <v>21.82</v>
      </c>
      <c r="R65" s="23">
        <v>28.07</v>
      </c>
      <c r="S65" s="23">
        <v>31.55</v>
      </c>
      <c r="T65" s="23">
        <v>39.97</v>
      </c>
      <c r="U65" s="23">
        <v>47.38</v>
      </c>
      <c r="V65" s="23">
        <v>55.96</v>
      </c>
      <c r="W65" s="23">
        <v>66.3</v>
      </c>
      <c r="X65" s="4"/>
      <c r="Y65" s="4"/>
      <c r="Z65" s="21">
        <v>63</v>
      </c>
      <c r="AA65" s="22">
        <f t="shared" si="2"/>
        <v>1008</v>
      </c>
      <c r="AB65" s="23">
        <v>19.83</v>
      </c>
      <c r="AC65" s="23">
        <v>19.83</v>
      </c>
      <c r="AD65" s="23">
        <v>25.51</v>
      </c>
      <c r="AE65" s="23">
        <v>28.68</v>
      </c>
      <c r="AF65" s="23">
        <v>36.33</v>
      </c>
      <c r="AG65" s="23">
        <v>43.07</v>
      </c>
      <c r="AH65" s="23">
        <v>50.87</v>
      </c>
      <c r="AI65" s="23">
        <v>60.27</v>
      </c>
      <c r="AJ65" s="5"/>
      <c r="AK65" s="5"/>
      <c r="AL65" s="21">
        <v>63</v>
      </c>
      <c r="AM65" s="22">
        <f t="shared" si="3"/>
        <v>1008</v>
      </c>
      <c r="AN65" s="23">
        <v>16.5</v>
      </c>
      <c r="AO65" s="23">
        <v>16.5</v>
      </c>
      <c r="AP65" s="23">
        <v>21.23</v>
      </c>
      <c r="AQ65" s="23">
        <v>23.85</v>
      </c>
      <c r="AR65" s="23">
        <v>30.23</v>
      </c>
      <c r="AS65" s="23">
        <v>35.84</v>
      </c>
      <c r="AT65" s="23">
        <v>42.32</v>
      </c>
      <c r="AU65" s="23">
        <v>50.15</v>
      </c>
    </row>
    <row r="66" ht="15.6" spans="2:47">
      <c r="B66" s="21">
        <v>64</v>
      </c>
      <c r="C66" s="22">
        <f t="shared" si="0"/>
        <v>1024</v>
      </c>
      <c r="D66" s="23">
        <v>24.44</v>
      </c>
      <c r="E66" s="23">
        <v>24.44</v>
      </c>
      <c r="F66" s="23">
        <v>30.64</v>
      </c>
      <c r="G66" s="23">
        <v>34.97</v>
      </c>
      <c r="H66" s="23">
        <v>43.64</v>
      </c>
      <c r="I66" s="23">
        <v>52.06</v>
      </c>
      <c r="J66" s="23">
        <v>61.05</v>
      </c>
      <c r="K66" s="23">
        <v>72.77</v>
      </c>
      <c r="L66" s="4"/>
      <c r="M66" s="4"/>
      <c r="N66" s="21">
        <v>64</v>
      </c>
      <c r="O66" s="22">
        <f t="shared" si="1"/>
        <v>1024</v>
      </c>
      <c r="P66" s="23">
        <v>22.4</v>
      </c>
      <c r="Q66" s="23">
        <v>22.4</v>
      </c>
      <c r="R66" s="23">
        <v>28.09</v>
      </c>
      <c r="S66" s="23">
        <v>32.06</v>
      </c>
      <c r="T66" s="23">
        <v>40</v>
      </c>
      <c r="U66" s="23">
        <v>47.72</v>
      </c>
      <c r="V66" s="23">
        <v>55.96</v>
      </c>
      <c r="W66" s="23">
        <v>66.71</v>
      </c>
      <c r="X66" s="4"/>
      <c r="Y66" s="4"/>
      <c r="Z66" s="21">
        <v>64</v>
      </c>
      <c r="AA66" s="22">
        <f t="shared" si="2"/>
        <v>1024</v>
      </c>
      <c r="AB66" s="23">
        <v>20.36</v>
      </c>
      <c r="AC66" s="23">
        <v>20.36</v>
      </c>
      <c r="AD66" s="23">
        <v>25.53</v>
      </c>
      <c r="AE66" s="23">
        <v>29.14</v>
      </c>
      <c r="AF66" s="23">
        <v>36.36</v>
      </c>
      <c r="AG66" s="23">
        <v>43.38</v>
      </c>
      <c r="AH66" s="23">
        <v>50.87</v>
      </c>
      <c r="AI66" s="23">
        <v>60.64</v>
      </c>
      <c r="AJ66" s="5"/>
      <c r="AK66" s="5"/>
      <c r="AL66" s="21">
        <v>64</v>
      </c>
      <c r="AM66" s="22">
        <f t="shared" si="3"/>
        <v>1024</v>
      </c>
      <c r="AN66" s="23">
        <v>16.94</v>
      </c>
      <c r="AO66" s="23">
        <v>16.94</v>
      </c>
      <c r="AP66" s="23">
        <v>21.24</v>
      </c>
      <c r="AQ66" s="23">
        <v>24.24</v>
      </c>
      <c r="AR66" s="23">
        <v>30.25</v>
      </c>
      <c r="AS66" s="23">
        <v>36.09</v>
      </c>
      <c r="AT66" s="23">
        <v>42.33</v>
      </c>
      <c r="AU66" s="23">
        <v>50.46</v>
      </c>
    </row>
    <row r="67" ht="15.6" spans="2:47">
      <c r="B67" s="21">
        <v>65</v>
      </c>
      <c r="C67" s="22">
        <f t="shared" ref="C67:C130" si="4">B67*16</f>
        <v>1040</v>
      </c>
      <c r="D67" s="23">
        <v>24.7</v>
      </c>
      <c r="E67" s="23">
        <v>24.7</v>
      </c>
      <c r="F67" s="23">
        <v>31.46</v>
      </c>
      <c r="G67" s="23">
        <v>34.98</v>
      </c>
      <c r="H67" s="23">
        <v>43.66</v>
      </c>
      <c r="I67" s="23">
        <v>52.49</v>
      </c>
      <c r="J67" s="23">
        <v>61.19</v>
      </c>
      <c r="K67" s="23">
        <v>72.9</v>
      </c>
      <c r="L67" s="4"/>
      <c r="M67" s="4"/>
      <c r="N67" s="21">
        <v>65</v>
      </c>
      <c r="O67" s="22">
        <f t="shared" ref="O67:O130" si="5">N67*16</f>
        <v>1040</v>
      </c>
      <c r="P67" s="23">
        <v>22.64</v>
      </c>
      <c r="Q67" s="23">
        <v>22.64</v>
      </c>
      <c r="R67" s="23">
        <v>28.84</v>
      </c>
      <c r="S67" s="23">
        <v>32.07</v>
      </c>
      <c r="T67" s="23">
        <v>40.02</v>
      </c>
      <c r="U67" s="23">
        <v>48.12</v>
      </c>
      <c r="V67" s="23">
        <v>56.09</v>
      </c>
      <c r="W67" s="23">
        <v>66.83</v>
      </c>
      <c r="X67" s="4"/>
      <c r="Y67" s="4"/>
      <c r="Z67" s="21">
        <v>65</v>
      </c>
      <c r="AA67" s="22">
        <f t="shared" ref="AA67:AA130" si="6">Z67*16</f>
        <v>1040</v>
      </c>
      <c r="AB67" s="23">
        <v>20.58</v>
      </c>
      <c r="AC67" s="23">
        <v>20.58</v>
      </c>
      <c r="AD67" s="23">
        <v>26.21</v>
      </c>
      <c r="AE67" s="23">
        <v>29.15</v>
      </c>
      <c r="AF67" s="23">
        <v>36.38</v>
      </c>
      <c r="AG67" s="23">
        <v>43.74</v>
      </c>
      <c r="AH67" s="23">
        <v>50.99</v>
      </c>
      <c r="AI67" s="23">
        <v>60.75</v>
      </c>
      <c r="AJ67" s="5"/>
      <c r="AK67" s="5"/>
      <c r="AL67" s="21">
        <v>65</v>
      </c>
      <c r="AM67" s="22">
        <f t="shared" ref="AM67:AM130" si="7">AL67*16</f>
        <v>1040</v>
      </c>
      <c r="AN67" s="23">
        <v>17.13</v>
      </c>
      <c r="AO67" s="23">
        <v>17.13</v>
      </c>
      <c r="AP67" s="23">
        <v>21.81</v>
      </c>
      <c r="AQ67" s="23">
        <v>24.26</v>
      </c>
      <c r="AR67" s="23">
        <v>30.26</v>
      </c>
      <c r="AS67" s="23">
        <v>36.39</v>
      </c>
      <c r="AT67" s="23">
        <v>42.43</v>
      </c>
      <c r="AU67" s="23">
        <v>50.55</v>
      </c>
    </row>
    <row r="68" ht="15.6" spans="2:47">
      <c r="B68" s="21">
        <v>66</v>
      </c>
      <c r="C68" s="22">
        <f t="shared" si="4"/>
        <v>1056</v>
      </c>
      <c r="D68" s="23">
        <v>24.82</v>
      </c>
      <c r="E68" s="23">
        <v>24.82</v>
      </c>
      <c r="F68" s="23">
        <v>31.76</v>
      </c>
      <c r="G68" s="23">
        <v>34.98</v>
      </c>
      <c r="H68" s="23">
        <v>43.67</v>
      </c>
      <c r="I68" s="23">
        <v>52.54</v>
      </c>
      <c r="J68" s="23">
        <v>61.38</v>
      </c>
      <c r="K68" s="23">
        <v>73.2</v>
      </c>
      <c r="L68" s="4"/>
      <c r="M68" s="4"/>
      <c r="N68" s="21">
        <v>66</v>
      </c>
      <c r="O68" s="22">
        <f t="shared" si="5"/>
        <v>1056</v>
      </c>
      <c r="P68" s="23">
        <v>22.75</v>
      </c>
      <c r="Q68" s="23">
        <v>22.75</v>
      </c>
      <c r="R68" s="23">
        <v>29.11</v>
      </c>
      <c r="S68" s="23">
        <v>32.07</v>
      </c>
      <c r="T68" s="23">
        <v>40.03</v>
      </c>
      <c r="U68" s="23">
        <v>48.16</v>
      </c>
      <c r="V68" s="23">
        <v>56.27</v>
      </c>
      <c r="W68" s="23">
        <v>67.1</v>
      </c>
      <c r="X68" s="4"/>
      <c r="Y68" s="4"/>
      <c r="Z68" s="21">
        <v>66</v>
      </c>
      <c r="AA68" s="22">
        <f t="shared" si="6"/>
        <v>1056</v>
      </c>
      <c r="AB68" s="23">
        <v>20.68</v>
      </c>
      <c r="AC68" s="23">
        <v>20.68</v>
      </c>
      <c r="AD68" s="23">
        <v>26.46</v>
      </c>
      <c r="AE68" s="23">
        <v>29.15</v>
      </c>
      <c r="AF68" s="23">
        <v>36.39</v>
      </c>
      <c r="AG68" s="23">
        <v>43.78</v>
      </c>
      <c r="AH68" s="23">
        <v>51.15</v>
      </c>
      <c r="AI68" s="23">
        <v>61</v>
      </c>
      <c r="AJ68" s="5"/>
      <c r="AK68" s="5"/>
      <c r="AL68" s="21">
        <v>66</v>
      </c>
      <c r="AM68" s="22">
        <f t="shared" si="7"/>
        <v>1056</v>
      </c>
      <c r="AN68" s="23">
        <v>17.2</v>
      </c>
      <c r="AO68" s="23">
        <v>17.2</v>
      </c>
      <c r="AP68" s="23">
        <v>22.02</v>
      </c>
      <c r="AQ68" s="23">
        <v>24.26</v>
      </c>
      <c r="AR68" s="23">
        <v>30.28</v>
      </c>
      <c r="AS68" s="23">
        <v>36.42</v>
      </c>
      <c r="AT68" s="23">
        <v>42.56</v>
      </c>
      <c r="AU68" s="23">
        <v>50.75</v>
      </c>
    </row>
    <row r="69" ht="15.6" spans="2:47">
      <c r="B69" s="21">
        <v>67</v>
      </c>
      <c r="C69" s="22">
        <f t="shared" si="4"/>
        <v>1072</v>
      </c>
      <c r="D69" s="23">
        <v>24.84</v>
      </c>
      <c r="E69" s="23">
        <v>24.84</v>
      </c>
      <c r="F69" s="23">
        <v>31.82</v>
      </c>
      <c r="G69" s="23">
        <v>35.01</v>
      </c>
      <c r="H69" s="23">
        <v>43.76</v>
      </c>
      <c r="I69" s="23">
        <v>52.95</v>
      </c>
      <c r="J69" s="23">
        <v>61.68</v>
      </c>
      <c r="K69" s="23">
        <v>73.95</v>
      </c>
      <c r="L69" s="4"/>
      <c r="M69" s="4"/>
      <c r="N69" s="21">
        <v>67</v>
      </c>
      <c r="O69" s="22">
        <f t="shared" si="5"/>
        <v>1072</v>
      </c>
      <c r="P69" s="23">
        <v>22.77</v>
      </c>
      <c r="Q69" s="23">
        <v>22.77</v>
      </c>
      <c r="R69" s="23">
        <v>29.17</v>
      </c>
      <c r="S69" s="23">
        <v>32.09</v>
      </c>
      <c r="T69" s="23">
        <v>40.11</v>
      </c>
      <c r="U69" s="23">
        <v>48.54</v>
      </c>
      <c r="V69" s="23">
        <v>56.54</v>
      </c>
      <c r="W69" s="23">
        <v>67.79</v>
      </c>
      <c r="X69" s="4"/>
      <c r="Y69" s="4"/>
      <c r="Z69" s="21">
        <v>67</v>
      </c>
      <c r="AA69" s="22">
        <f t="shared" si="6"/>
        <v>1072</v>
      </c>
      <c r="AB69" s="23">
        <v>20.7</v>
      </c>
      <c r="AC69" s="23">
        <v>20.7</v>
      </c>
      <c r="AD69" s="23">
        <v>26.51</v>
      </c>
      <c r="AE69" s="23">
        <v>29.17</v>
      </c>
      <c r="AF69" s="23">
        <v>36.46</v>
      </c>
      <c r="AG69" s="23">
        <v>44.12</v>
      </c>
      <c r="AH69" s="23">
        <v>51.4</v>
      </c>
      <c r="AI69" s="23">
        <v>61.62</v>
      </c>
      <c r="AJ69" s="5"/>
      <c r="AK69" s="5"/>
      <c r="AL69" s="21">
        <v>67</v>
      </c>
      <c r="AM69" s="22">
        <f t="shared" si="7"/>
        <v>1072</v>
      </c>
      <c r="AN69" s="23">
        <v>17.22</v>
      </c>
      <c r="AO69" s="23">
        <v>17.22</v>
      </c>
      <c r="AP69" s="23">
        <v>22.06</v>
      </c>
      <c r="AQ69" s="23">
        <v>24.27</v>
      </c>
      <c r="AR69" s="23">
        <v>30.34</v>
      </c>
      <c r="AS69" s="23">
        <v>36.71</v>
      </c>
      <c r="AT69" s="23">
        <v>42.77</v>
      </c>
      <c r="AU69" s="23">
        <v>51.26</v>
      </c>
    </row>
    <row r="70" ht="15.6" spans="2:47">
      <c r="B70" s="21">
        <v>68</v>
      </c>
      <c r="C70" s="22">
        <f t="shared" si="4"/>
        <v>1088</v>
      </c>
      <c r="D70" s="23">
        <v>25.11</v>
      </c>
      <c r="E70" s="23">
        <v>25.11</v>
      </c>
      <c r="F70" s="23">
        <v>32.37</v>
      </c>
      <c r="G70" s="23">
        <v>37.12</v>
      </c>
      <c r="H70" s="23">
        <v>44.68</v>
      </c>
      <c r="I70" s="23">
        <v>53.74</v>
      </c>
      <c r="J70" s="23">
        <v>62.62</v>
      </c>
      <c r="K70" s="23">
        <v>73.98</v>
      </c>
      <c r="L70" s="4"/>
      <c r="M70" s="4"/>
      <c r="N70" s="21">
        <v>68</v>
      </c>
      <c r="O70" s="22">
        <f t="shared" si="5"/>
        <v>1088</v>
      </c>
      <c r="P70" s="23">
        <v>23.02</v>
      </c>
      <c r="Q70" s="23">
        <v>23.02</v>
      </c>
      <c r="R70" s="23">
        <v>29.67</v>
      </c>
      <c r="S70" s="23">
        <v>34.03</v>
      </c>
      <c r="T70" s="23">
        <v>40.96</v>
      </c>
      <c r="U70" s="23">
        <v>49.26</v>
      </c>
      <c r="V70" s="23">
        <v>57.4</v>
      </c>
      <c r="W70" s="23">
        <v>67.82</v>
      </c>
      <c r="X70" s="4"/>
      <c r="Y70" s="4"/>
      <c r="Z70" s="21">
        <v>68</v>
      </c>
      <c r="AA70" s="22">
        <f t="shared" si="6"/>
        <v>1088</v>
      </c>
      <c r="AB70" s="23">
        <v>20.92</v>
      </c>
      <c r="AC70" s="23">
        <v>20.92</v>
      </c>
      <c r="AD70" s="23">
        <v>26.97</v>
      </c>
      <c r="AE70" s="23">
        <v>30.93</v>
      </c>
      <c r="AF70" s="23">
        <v>37.23</v>
      </c>
      <c r="AG70" s="23">
        <v>44.78</v>
      </c>
      <c r="AH70" s="23">
        <v>52.18</v>
      </c>
      <c r="AI70" s="23">
        <v>61.65</v>
      </c>
      <c r="AJ70" s="5"/>
      <c r="AK70" s="5"/>
      <c r="AL70" s="21">
        <v>68</v>
      </c>
      <c r="AM70" s="22">
        <f t="shared" si="7"/>
        <v>1088</v>
      </c>
      <c r="AN70" s="23">
        <v>17.4</v>
      </c>
      <c r="AO70" s="23">
        <v>17.4</v>
      </c>
      <c r="AP70" s="23">
        <v>22.44</v>
      </c>
      <c r="AQ70" s="23">
        <v>25.73</v>
      </c>
      <c r="AR70" s="23">
        <v>30.98</v>
      </c>
      <c r="AS70" s="23">
        <v>37.25</v>
      </c>
      <c r="AT70" s="23">
        <v>43.42</v>
      </c>
      <c r="AU70" s="23">
        <v>51.29</v>
      </c>
    </row>
    <row r="71" ht="15.6" spans="2:47">
      <c r="B71" s="21">
        <v>69</v>
      </c>
      <c r="C71" s="22">
        <f t="shared" si="4"/>
        <v>1104</v>
      </c>
      <c r="D71" s="23">
        <v>25.62</v>
      </c>
      <c r="E71" s="23">
        <v>25.62</v>
      </c>
      <c r="F71" s="23">
        <v>32.68</v>
      </c>
      <c r="G71" s="23">
        <v>37.38</v>
      </c>
      <c r="H71" s="23">
        <v>45.03</v>
      </c>
      <c r="I71" s="23">
        <v>54</v>
      </c>
      <c r="J71" s="23">
        <v>62.67</v>
      </c>
      <c r="K71" s="23">
        <v>74.3</v>
      </c>
      <c r="L71" s="4"/>
      <c r="M71" s="4"/>
      <c r="N71" s="21">
        <v>69</v>
      </c>
      <c r="O71" s="22">
        <f t="shared" si="5"/>
        <v>1104</v>
      </c>
      <c r="P71" s="23">
        <v>23.49</v>
      </c>
      <c r="Q71" s="23">
        <v>23.49</v>
      </c>
      <c r="R71" s="23">
        <v>29.96</v>
      </c>
      <c r="S71" s="23">
        <v>34.27</v>
      </c>
      <c r="T71" s="23">
        <v>41.28</v>
      </c>
      <c r="U71" s="23">
        <v>49.5</v>
      </c>
      <c r="V71" s="23">
        <v>57.45</v>
      </c>
      <c r="W71" s="23">
        <v>68.11</v>
      </c>
      <c r="X71" s="4"/>
      <c r="Y71" s="4"/>
      <c r="Z71" s="21">
        <v>69</v>
      </c>
      <c r="AA71" s="22">
        <f t="shared" si="6"/>
        <v>1104</v>
      </c>
      <c r="AB71" s="23">
        <v>21.35</v>
      </c>
      <c r="AC71" s="23">
        <v>21.35</v>
      </c>
      <c r="AD71" s="23">
        <v>27.23</v>
      </c>
      <c r="AE71" s="23">
        <v>31.15</v>
      </c>
      <c r="AF71" s="23">
        <v>37.52</v>
      </c>
      <c r="AG71" s="23">
        <v>45</v>
      </c>
      <c r="AH71" s="23">
        <v>52.22</v>
      </c>
      <c r="AI71" s="23">
        <v>61.91</v>
      </c>
      <c r="AJ71" s="5"/>
      <c r="AK71" s="5"/>
      <c r="AL71" s="21">
        <v>69</v>
      </c>
      <c r="AM71" s="22">
        <f t="shared" si="7"/>
        <v>1104</v>
      </c>
      <c r="AN71" s="23">
        <v>17.77</v>
      </c>
      <c r="AO71" s="23">
        <v>17.77</v>
      </c>
      <c r="AP71" s="23">
        <v>22.66</v>
      </c>
      <c r="AQ71" s="23">
        <v>25.92</v>
      </c>
      <c r="AR71" s="23">
        <v>31.22</v>
      </c>
      <c r="AS71" s="23">
        <v>37.44</v>
      </c>
      <c r="AT71" s="23">
        <v>43.45</v>
      </c>
      <c r="AU71" s="23">
        <v>51.51</v>
      </c>
    </row>
    <row r="72" ht="15.6" spans="2:47">
      <c r="B72" s="21">
        <v>70</v>
      </c>
      <c r="C72" s="22">
        <f t="shared" si="4"/>
        <v>1120</v>
      </c>
      <c r="D72" s="23">
        <v>25.74</v>
      </c>
      <c r="E72" s="23">
        <v>25.74</v>
      </c>
      <c r="F72" s="23">
        <v>33.12</v>
      </c>
      <c r="G72" s="23">
        <v>38.2</v>
      </c>
      <c r="H72" s="23">
        <v>46.95</v>
      </c>
      <c r="I72" s="23">
        <v>55.1</v>
      </c>
      <c r="J72" s="23">
        <v>62.73</v>
      </c>
      <c r="K72" s="23">
        <v>74.92</v>
      </c>
      <c r="L72" s="4"/>
      <c r="M72" s="4"/>
      <c r="N72" s="21">
        <v>70</v>
      </c>
      <c r="O72" s="22">
        <f t="shared" si="5"/>
        <v>1120</v>
      </c>
      <c r="P72" s="23">
        <v>23.6</v>
      </c>
      <c r="Q72" s="23">
        <v>23.6</v>
      </c>
      <c r="R72" s="23">
        <v>30.36</v>
      </c>
      <c r="S72" s="23">
        <v>35.02</v>
      </c>
      <c r="T72" s="23">
        <v>43.04</v>
      </c>
      <c r="U72" s="23">
        <v>50.51</v>
      </c>
      <c r="V72" s="23">
        <v>57.5</v>
      </c>
      <c r="W72" s="23">
        <v>68.68</v>
      </c>
      <c r="X72" s="4"/>
      <c r="Y72" s="4"/>
      <c r="Z72" s="21">
        <v>70</v>
      </c>
      <c r="AA72" s="22">
        <f t="shared" si="6"/>
        <v>1120</v>
      </c>
      <c r="AB72" s="23">
        <v>21.45</v>
      </c>
      <c r="AC72" s="23">
        <v>21.45</v>
      </c>
      <c r="AD72" s="23">
        <v>27.6</v>
      </c>
      <c r="AE72" s="23">
        <v>31.83</v>
      </c>
      <c r="AF72" s="23">
        <v>39.12</v>
      </c>
      <c r="AG72" s="23">
        <v>45.91</v>
      </c>
      <c r="AH72" s="23">
        <v>52.27</v>
      </c>
      <c r="AI72" s="23">
        <v>62.43</v>
      </c>
      <c r="AJ72" s="5"/>
      <c r="AK72" s="5"/>
      <c r="AL72" s="21">
        <v>70</v>
      </c>
      <c r="AM72" s="22">
        <f t="shared" si="7"/>
        <v>1120</v>
      </c>
      <c r="AN72" s="23">
        <v>17.85</v>
      </c>
      <c r="AO72" s="23">
        <v>17.85</v>
      </c>
      <c r="AP72" s="23">
        <v>22.97</v>
      </c>
      <c r="AQ72" s="23">
        <v>26.48</v>
      </c>
      <c r="AR72" s="23">
        <v>32.55</v>
      </c>
      <c r="AS72" s="23">
        <v>38.2</v>
      </c>
      <c r="AT72" s="23">
        <v>43.48</v>
      </c>
      <c r="AU72" s="23">
        <v>51.95</v>
      </c>
    </row>
    <row r="73" ht="15.6" spans="2:47">
      <c r="B73" s="21">
        <v>71</v>
      </c>
      <c r="C73" s="22">
        <f t="shared" si="4"/>
        <v>1136</v>
      </c>
      <c r="D73" s="23">
        <v>25.82</v>
      </c>
      <c r="E73" s="23">
        <v>25.82</v>
      </c>
      <c r="F73" s="23">
        <v>33.18</v>
      </c>
      <c r="G73" s="23">
        <v>38.87</v>
      </c>
      <c r="H73" s="23">
        <v>47.19</v>
      </c>
      <c r="I73" s="23">
        <v>55.56</v>
      </c>
      <c r="J73" s="23">
        <v>63.76</v>
      </c>
      <c r="K73" s="23">
        <v>75.09</v>
      </c>
      <c r="L73" s="4"/>
      <c r="M73" s="4"/>
      <c r="N73" s="21">
        <v>71</v>
      </c>
      <c r="O73" s="22">
        <f t="shared" si="5"/>
        <v>1136</v>
      </c>
      <c r="P73" s="23">
        <v>23.67</v>
      </c>
      <c r="Q73" s="23">
        <v>23.67</v>
      </c>
      <c r="R73" s="23">
        <v>30.42</v>
      </c>
      <c r="S73" s="23">
        <v>35.63</v>
      </c>
      <c r="T73" s="23">
        <v>43.26</v>
      </c>
      <c r="U73" s="23">
        <v>50.93</v>
      </c>
      <c r="V73" s="23">
        <v>58.45</v>
      </c>
      <c r="W73" s="23">
        <v>68.83</v>
      </c>
      <c r="X73" s="4"/>
      <c r="Y73" s="4"/>
      <c r="Z73" s="21">
        <v>71</v>
      </c>
      <c r="AA73" s="22">
        <f t="shared" si="6"/>
        <v>1136</v>
      </c>
      <c r="AB73" s="23">
        <v>21.51</v>
      </c>
      <c r="AC73" s="23">
        <v>21.51</v>
      </c>
      <c r="AD73" s="23">
        <v>27.65</v>
      </c>
      <c r="AE73" s="23">
        <v>32.39</v>
      </c>
      <c r="AF73" s="23">
        <v>39.32</v>
      </c>
      <c r="AG73" s="23">
        <v>46.3</v>
      </c>
      <c r="AH73" s="23">
        <v>53.13</v>
      </c>
      <c r="AI73" s="23">
        <v>62.57</v>
      </c>
      <c r="AJ73" s="5"/>
      <c r="AK73" s="5"/>
      <c r="AL73" s="21">
        <v>71</v>
      </c>
      <c r="AM73" s="22">
        <f t="shared" si="7"/>
        <v>1136</v>
      </c>
      <c r="AN73" s="23">
        <v>17.9</v>
      </c>
      <c r="AO73" s="23">
        <v>17.9</v>
      </c>
      <c r="AP73" s="23">
        <v>23.01</v>
      </c>
      <c r="AQ73" s="23">
        <v>26.94</v>
      </c>
      <c r="AR73" s="23">
        <v>32.71</v>
      </c>
      <c r="AS73" s="23">
        <v>38.52</v>
      </c>
      <c r="AT73" s="23">
        <v>44.21</v>
      </c>
      <c r="AU73" s="23">
        <v>52.05</v>
      </c>
    </row>
    <row r="74" ht="15.6" spans="2:47">
      <c r="B74" s="21">
        <v>72</v>
      </c>
      <c r="C74" s="22">
        <f t="shared" si="4"/>
        <v>1152</v>
      </c>
      <c r="D74" s="23">
        <v>26.55</v>
      </c>
      <c r="E74" s="23">
        <v>26.55</v>
      </c>
      <c r="F74" s="23">
        <v>33.21</v>
      </c>
      <c r="G74" s="23">
        <v>39.68</v>
      </c>
      <c r="H74" s="23">
        <v>47.2</v>
      </c>
      <c r="I74" s="23">
        <v>56.48</v>
      </c>
      <c r="J74" s="23">
        <v>66.48</v>
      </c>
      <c r="K74" s="23">
        <v>75.21</v>
      </c>
      <c r="L74" s="4"/>
      <c r="M74" s="4"/>
      <c r="N74" s="21">
        <v>72</v>
      </c>
      <c r="O74" s="22">
        <f t="shared" si="5"/>
        <v>1152</v>
      </c>
      <c r="P74" s="23">
        <v>24.34</v>
      </c>
      <c r="Q74" s="23">
        <v>24.34</v>
      </c>
      <c r="R74" s="23">
        <v>30.44</v>
      </c>
      <c r="S74" s="23">
        <v>36.37</v>
      </c>
      <c r="T74" s="23">
        <v>43.27</v>
      </c>
      <c r="U74" s="23">
        <v>51.77</v>
      </c>
      <c r="V74" s="23">
        <v>60.94</v>
      </c>
      <c r="W74" s="23">
        <v>68.94</v>
      </c>
      <c r="X74" s="4"/>
      <c r="Y74" s="4"/>
      <c r="Z74" s="21">
        <v>72</v>
      </c>
      <c r="AA74" s="22">
        <f t="shared" si="6"/>
        <v>1152</v>
      </c>
      <c r="AB74" s="23">
        <v>22.12</v>
      </c>
      <c r="AC74" s="23">
        <v>22.12</v>
      </c>
      <c r="AD74" s="23">
        <v>27.67</v>
      </c>
      <c r="AE74" s="23">
        <v>33.06</v>
      </c>
      <c r="AF74" s="23">
        <v>39.33</v>
      </c>
      <c r="AG74" s="23">
        <v>47.06</v>
      </c>
      <c r="AH74" s="23">
        <v>55.4</v>
      </c>
      <c r="AI74" s="23">
        <v>62.67</v>
      </c>
      <c r="AJ74" s="5"/>
      <c r="AK74" s="5"/>
      <c r="AL74" s="21">
        <v>72</v>
      </c>
      <c r="AM74" s="22">
        <f t="shared" si="7"/>
        <v>1152</v>
      </c>
      <c r="AN74" s="23">
        <v>18.4</v>
      </c>
      <c r="AO74" s="23">
        <v>18.4</v>
      </c>
      <c r="AP74" s="23">
        <v>23.01</v>
      </c>
      <c r="AQ74" s="23">
        <v>27.5</v>
      </c>
      <c r="AR74" s="23">
        <v>32.73</v>
      </c>
      <c r="AS74" s="23">
        <v>39.15</v>
      </c>
      <c r="AT74" s="23">
        <v>46.09</v>
      </c>
      <c r="AU74" s="23">
        <v>52.14</v>
      </c>
    </row>
    <row r="75" ht="15.6" spans="2:47">
      <c r="B75" s="21">
        <v>73</v>
      </c>
      <c r="C75" s="22">
        <f t="shared" si="4"/>
        <v>1168</v>
      </c>
      <c r="D75" s="23">
        <v>26.72</v>
      </c>
      <c r="E75" s="23">
        <v>26.72</v>
      </c>
      <c r="F75" s="23">
        <v>33.52</v>
      </c>
      <c r="G75" s="23">
        <v>39.69</v>
      </c>
      <c r="H75" s="23">
        <v>47.91</v>
      </c>
      <c r="I75" s="23">
        <v>57.02</v>
      </c>
      <c r="J75" s="23">
        <v>66.52</v>
      </c>
      <c r="K75" s="23">
        <v>75.21</v>
      </c>
      <c r="L75" s="4"/>
      <c r="M75" s="4"/>
      <c r="N75" s="21">
        <v>73</v>
      </c>
      <c r="O75" s="22">
        <f t="shared" si="5"/>
        <v>1168</v>
      </c>
      <c r="P75" s="23">
        <v>24.49</v>
      </c>
      <c r="Q75" s="23">
        <v>24.49</v>
      </c>
      <c r="R75" s="23">
        <v>30.73</v>
      </c>
      <c r="S75" s="23">
        <v>36.38</v>
      </c>
      <c r="T75" s="23">
        <v>43.92</v>
      </c>
      <c r="U75" s="23">
        <v>52.27</v>
      </c>
      <c r="V75" s="23">
        <v>60.98</v>
      </c>
      <c r="W75" s="23">
        <v>68.94</v>
      </c>
      <c r="X75" s="4"/>
      <c r="Y75" s="4"/>
      <c r="Z75" s="21">
        <v>73</v>
      </c>
      <c r="AA75" s="22">
        <f t="shared" si="6"/>
        <v>1168</v>
      </c>
      <c r="AB75" s="23">
        <v>22.26</v>
      </c>
      <c r="AC75" s="23">
        <v>22.26</v>
      </c>
      <c r="AD75" s="23">
        <v>27.93</v>
      </c>
      <c r="AE75" s="23">
        <v>33.07</v>
      </c>
      <c r="AF75" s="23">
        <v>39.92</v>
      </c>
      <c r="AG75" s="23">
        <v>47.51</v>
      </c>
      <c r="AH75" s="23">
        <v>55.43</v>
      </c>
      <c r="AI75" s="23">
        <v>62.67</v>
      </c>
      <c r="AJ75" s="5"/>
      <c r="AK75" s="5"/>
      <c r="AL75" s="21">
        <v>73</v>
      </c>
      <c r="AM75" s="22">
        <f t="shared" si="7"/>
        <v>1168</v>
      </c>
      <c r="AN75" s="23">
        <v>18.52</v>
      </c>
      <c r="AO75" s="23">
        <v>18.52</v>
      </c>
      <c r="AP75" s="23">
        <v>23.24</v>
      </c>
      <c r="AQ75" s="23">
        <v>27.51</v>
      </c>
      <c r="AR75" s="23">
        <v>33.21</v>
      </c>
      <c r="AS75" s="23">
        <v>39.52</v>
      </c>
      <c r="AT75" s="23">
        <v>46.11</v>
      </c>
      <c r="AU75" s="23">
        <v>52.15</v>
      </c>
    </row>
    <row r="76" ht="15.6" spans="2:47">
      <c r="B76" s="21">
        <v>74</v>
      </c>
      <c r="C76" s="22">
        <f t="shared" si="4"/>
        <v>1184</v>
      </c>
      <c r="D76" s="23">
        <v>27.42</v>
      </c>
      <c r="E76" s="23">
        <v>27.42</v>
      </c>
      <c r="F76" s="23">
        <v>33.52</v>
      </c>
      <c r="G76" s="23">
        <v>39.69</v>
      </c>
      <c r="H76" s="23">
        <v>47.91</v>
      </c>
      <c r="I76" s="23">
        <v>57.95</v>
      </c>
      <c r="J76" s="23">
        <v>66.6</v>
      </c>
      <c r="K76" s="23">
        <v>75.22</v>
      </c>
      <c r="L76" s="4"/>
      <c r="M76" s="4"/>
      <c r="N76" s="21">
        <v>74</v>
      </c>
      <c r="O76" s="22">
        <f t="shared" si="5"/>
        <v>1184</v>
      </c>
      <c r="P76" s="23">
        <v>25.14</v>
      </c>
      <c r="Q76" s="23">
        <v>25.14</v>
      </c>
      <c r="R76" s="23">
        <v>30.73</v>
      </c>
      <c r="S76" s="23">
        <v>36.38</v>
      </c>
      <c r="T76" s="23">
        <v>43.92</v>
      </c>
      <c r="U76" s="23">
        <v>53.12</v>
      </c>
      <c r="V76" s="23">
        <v>61.05</v>
      </c>
      <c r="W76" s="23">
        <v>68.95</v>
      </c>
      <c r="X76" s="4"/>
      <c r="Y76" s="4"/>
      <c r="Z76" s="21">
        <v>74</v>
      </c>
      <c r="AA76" s="22">
        <f t="shared" si="6"/>
        <v>1184</v>
      </c>
      <c r="AB76" s="23">
        <v>22.85</v>
      </c>
      <c r="AC76" s="23">
        <v>22.85</v>
      </c>
      <c r="AD76" s="23">
        <v>27.93</v>
      </c>
      <c r="AE76" s="23">
        <v>33.07</v>
      </c>
      <c r="AF76" s="23">
        <v>39.92</v>
      </c>
      <c r="AG76" s="23">
        <v>48.29</v>
      </c>
      <c r="AH76" s="23">
        <v>55.5</v>
      </c>
      <c r="AI76" s="23">
        <v>62.68</v>
      </c>
      <c r="AJ76" s="5"/>
      <c r="AK76" s="5"/>
      <c r="AL76" s="21">
        <v>74</v>
      </c>
      <c r="AM76" s="22">
        <f t="shared" si="7"/>
        <v>1184</v>
      </c>
      <c r="AN76" s="23">
        <v>19.01</v>
      </c>
      <c r="AO76" s="23">
        <v>19.01</v>
      </c>
      <c r="AP76" s="23">
        <v>23.24</v>
      </c>
      <c r="AQ76" s="23">
        <v>27.52</v>
      </c>
      <c r="AR76" s="23">
        <v>33.21</v>
      </c>
      <c r="AS76" s="23">
        <v>40.18</v>
      </c>
      <c r="AT76" s="23">
        <v>46.18</v>
      </c>
      <c r="AU76" s="23">
        <v>52.15</v>
      </c>
    </row>
    <row r="77" ht="15.6" spans="2:47">
      <c r="B77" s="21">
        <v>75</v>
      </c>
      <c r="C77" s="22">
        <f t="shared" si="4"/>
        <v>1200</v>
      </c>
      <c r="D77" s="23">
        <v>28.46</v>
      </c>
      <c r="E77" s="23">
        <v>28.46</v>
      </c>
      <c r="F77" s="23">
        <v>33.58</v>
      </c>
      <c r="G77" s="23">
        <v>39.71</v>
      </c>
      <c r="H77" s="23">
        <v>48.34</v>
      </c>
      <c r="I77" s="23">
        <v>57.96</v>
      </c>
      <c r="J77" s="23">
        <v>67.29</v>
      </c>
      <c r="K77" s="23">
        <v>75.24</v>
      </c>
      <c r="L77" s="4"/>
      <c r="M77" s="4"/>
      <c r="N77" s="21">
        <v>75</v>
      </c>
      <c r="O77" s="22">
        <f t="shared" si="5"/>
        <v>1200</v>
      </c>
      <c r="P77" s="23">
        <v>26.09</v>
      </c>
      <c r="Q77" s="23">
        <v>26.09</v>
      </c>
      <c r="R77" s="23">
        <v>30.78</v>
      </c>
      <c r="S77" s="23">
        <v>36.4</v>
      </c>
      <c r="T77" s="23">
        <v>44.31</v>
      </c>
      <c r="U77" s="23">
        <v>53.13</v>
      </c>
      <c r="V77" s="23">
        <v>61.68</v>
      </c>
      <c r="W77" s="23">
        <v>68.97</v>
      </c>
      <c r="X77" s="4"/>
      <c r="Y77" s="4"/>
      <c r="Z77" s="21">
        <v>75</v>
      </c>
      <c r="AA77" s="22">
        <f t="shared" si="6"/>
        <v>1200</v>
      </c>
      <c r="AB77" s="23">
        <v>23.71</v>
      </c>
      <c r="AC77" s="23">
        <v>23.71</v>
      </c>
      <c r="AD77" s="23">
        <v>27.98</v>
      </c>
      <c r="AE77" s="23">
        <v>33.09</v>
      </c>
      <c r="AF77" s="23">
        <v>40.28</v>
      </c>
      <c r="AG77" s="23">
        <v>48.3</v>
      </c>
      <c r="AH77" s="23">
        <v>56.07</v>
      </c>
      <c r="AI77" s="23">
        <v>62.7</v>
      </c>
      <c r="AJ77" s="5"/>
      <c r="AK77" s="5"/>
      <c r="AL77" s="21">
        <v>75</v>
      </c>
      <c r="AM77" s="22">
        <f t="shared" si="7"/>
        <v>1200</v>
      </c>
      <c r="AN77" s="23">
        <v>19.72</v>
      </c>
      <c r="AO77" s="23">
        <v>19.72</v>
      </c>
      <c r="AP77" s="23">
        <v>23.27</v>
      </c>
      <c r="AQ77" s="23">
        <v>27.52</v>
      </c>
      <c r="AR77" s="23">
        <v>33.51</v>
      </c>
      <c r="AS77" s="23">
        <v>40.19</v>
      </c>
      <c r="AT77" s="23">
        <v>46.65</v>
      </c>
      <c r="AU77" s="23">
        <v>52.16</v>
      </c>
    </row>
    <row r="78" ht="15.6" spans="2:47">
      <c r="B78" s="21">
        <v>76</v>
      </c>
      <c r="C78" s="22">
        <f t="shared" si="4"/>
        <v>1216</v>
      </c>
      <c r="D78" s="23">
        <v>30.65</v>
      </c>
      <c r="E78" s="23">
        <v>30.65</v>
      </c>
      <c r="F78" s="23">
        <v>35.44</v>
      </c>
      <c r="G78" s="23">
        <v>39.96</v>
      </c>
      <c r="H78" s="23">
        <v>49.08</v>
      </c>
      <c r="I78" s="23">
        <v>59.26</v>
      </c>
      <c r="J78" s="23">
        <v>68.38</v>
      </c>
      <c r="K78" s="23">
        <v>75.98</v>
      </c>
      <c r="L78" s="4"/>
      <c r="M78" s="4"/>
      <c r="N78" s="21">
        <v>76</v>
      </c>
      <c r="O78" s="22">
        <f t="shared" si="5"/>
        <v>1216</v>
      </c>
      <c r="P78" s="23">
        <v>28.1</v>
      </c>
      <c r="Q78" s="23">
        <v>28.1</v>
      </c>
      <c r="R78" s="23">
        <v>32.49</v>
      </c>
      <c r="S78" s="23">
        <v>36.63</v>
      </c>
      <c r="T78" s="23">
        <v>44.99</v>
      </c>
      <c r="U78" s="23">
        <v>54.32</v>
      </c>
      <c r="V78" s="23">
        <v>62.68</v>
      </c>
      <c r="W78" s="23">
        <v>69.65</v>
      </c>
      <c r="X78" s="4"/>
      <c r="Y78" s="4"/>
      <c r="Z78" s="21">
        <v>76</v>
      </c>
      <c r="AA78" s="22">
        <f t="shared" si="6"/>
        <v>1216</v>
      </c>
      <c r="AB78" s="23">
        <v>25.54</v>
      </c>
      <c r="AC78" s="23">
        <v>25.54</v>
      </c>
      <c r="AD78" s="23">
        <v>29.53</v>
      </c>
      <c r="AE78" s="23">
        <v>33.3</v>
      </c>
      <c r="AF78" s="23">
        <v>40.9</v>
      </c>
      <c r="AG78" s="23">
        <v>49.38</v>
      </c>
      <c r="AH78" s="23">
        <v>56.98</v>
      </c>
      <c r="AI78" s="23">
        <v>63.31</v>
      </c>
      <c r="AJ78" s="5"/>
      <c r="AK78" s="5"/>
      <c r="AL78" s="21">
        <v>76</v>
      </c>
      <c r="AM78" s="22">
        <f t="shared" si="7"/>
        <v>1216</v>
      </c>
      <c r="AN78" s="23">
        <v>21.24</v>
      </c>
      <c r="AO78" s="23">
        <v>21.24</v>
      </c>
      <c r="AP78" s="23">
        <v>24.57</v>
      </c>
      <c r="AQ78" s="23">
        <v>27.7</v>
      </c>
      <c r="AR78" s="23">
        <v>34.02</v>
      </c>
      <c r="AS78" s="23">
        <v>41.09</v>
      </c>
      <c r="AT78" s="23">
        <v>47.41</v>
      </c>
      <c r="AU78" s="23">
        <v>52.67</v>
      </c>
    </row>
    <row r="79" ht="15.6" spans="2:47">
      <c r="B79" s="21">
        <v>77</v>
      </c>
      <c r="C79" s="22">
        <f t="shared" si="4"/>
        <v>1232</v>
      </c>
      <c r="D79" s="23">
        <v>31.86</v>
      </c>
      <c r="E79" s="23">
        <v>31.86</v>
      </c>
      <c r="F79" s="23">
        <v>35.96</v>
      </c>
      <c r="G79" s="23">
        <v>40.44</v>
      </c>
      <c r="H79" s="23">
        <v>49.3</v>
      </c>
      <c r="I79" s="23">
        <v>59.6</v>
      </c>
      <c r="J79" s="23">
        <v>70.34</v>
      </c>
      <c r="K79" s="23">
        <v>76.01</v>
      </c>
      <c r="L79" s="4"/>
      <c r="M79" s="4"/>
      <c r="N79" s="21">
        <v>77</v>
      </c>
      <c r="O79" s="22">
        <f t="shared" si="5"/>
        <v>1232</v>
      </c>
      <c r="P79" s="23">
        <v>29.21</v>
      </c>
      <c r="Q79" s="23">
        <v>29.21</v>
      </c>
      <c r="R79" s="23">
        <v>32.96</v>
      </c>
      <c r="S79" s="23">
        <v>37.07</v>
      </c>
      <c r="T79" s="23">
        <v>45.19</v>
      </c>
      <c r="U79" s="23">
        <v>54.63</v>
      </c>
      <c r="V79" s="23">
        <v>64.48</v>
      </c>
      <c r="W79" s="23">
        <v>69.68</v>
      </c>
      <c r="X79" s="4"/>
      <c r="Y79" s="4"/>
      <c r="Z79" s="21">
        <v>77</v>
      </c>
      <c r="AA79" s="22">
        <f t="shared" si="6"/>
        <v>1232</v>
      </c>
      <c r="AB79" s="23">
        <v>26.55</v>
      </c>
      <c r="AC79" s="23">
        <v>26.55</v>
      </c>
      <c r="AD79" s="23">
        <v>29.96</v>
      </c>
      <c r="AE79" s="23">
        <v>33.7</v>
      </c>
      <c r="AF79" s="23">
        <v>41.08</v>
      </c>
      <c r="AG79" s="23">
        <v>49.66</v>
      </c>
      <c r="AH79" s="23">
        <v>58.61</v>
      </c>
      <c r="AI79" s="23">
        <v>63.34</v>
      </c>
      <c r="AJ79" s="5"/>
      <c r="AK79" s="5"/>
      <c r="AL79" s="21">
        <v>77</v>
      </c>
      <c r="AM79" s="22">
        <f t="shared" si="7"/>
        <v>1232</v>
      </c>
      <c r="AN79" s="23">
        <v>22.09</v>
      </c>
      <c r="AO79" s="23">
        <v>22.09</v>
      </c>
      <c r="AP79" s="23">
        <v>24.93</v>
      </c>
      <c r="AQ79" s="23">
        <v>28.04</v>
      </c>
      <c r="AR79" s="23">
        <v>34.18</v>
      </c>
      <c r="AS79" s="23">
        <v>41.32</v>
      </c>
      <c r="AT79" s="23">
        <v>48.75</v>
      </c>
      <c r="AU79" s="23">
        <v>52.7</v>
      </c>
    </row>
    <row r="80" ht="15.6" spans="2:47">
      <c r="B80" s="21">
        <v>78</v>
      </c>
      <c r="C80" s="22">
        <f t="shared" si="4"/>
        <v>1248</v>
      </c>
      <c r="D80" s="23">
        <v>31.9</v>
      </c>
      <c r="E80" s="23">
        <v>31.9</v>
      </c>
      <c r="F80" s="23">
        <v>37.32</v>
      </c>
      <c r="G80" s="23">
        <v>41.64</v>
      </c>
      <c r="H80" s="23">
        <v>49.82</v>
      </c>
      <c r="I80" s="23">
        <v>59.97</v>
      </c>
      <c r="J80" s="23">
        <v>70.85</v>
      </c>
      <c r="K80" s="23">
        <v>76.01</v>
      </c>
      <c r="L80" s="4"/>
      <c r="M80" s="4"/>
      <c r="N80" s="21">
        <v>78</v>
      </c>
      <c r="O80" s="22">
        <f t="shared" si="5"/>
        <v>1248</v>
      </c>
      <c r="P80" s="23">
        <v>29.24</v>
      </c>
      <c r="Q80" s="23">
        <v>29.24</v>
      </c>
      <c r="R80" s="23">
        <v>34.21</v>
      </c>
      <c r="S80" s="23">
        <v>38.17</v>
      </c>
      <c r="T80" s="23">
        <v>45.67</v>
      </c>
      <c r="U80" s="23">
        <v>54.97</v>
      </c>
      <c r="V80" s="23">
        <v>64.95</v>
      </c>
      <c r="W80" s="23">
        <v>69.68</v>
      </c>
      <c r="X80" s="4"/>
      <c r="Y80" s="4"/>
      <c r="Z80" s="21">
        <v>78</v>
      </c>
      <c r="AA80" s="22">
        <f t="shared" si="6"/>
        <v>1248</v>
      </c>
      <c r="AB80" s="23">
        <v>26.58</v>
      </c>
      <c r="AC80" s="23">
        <v>26.58</v>
      </c>
      <c r="AD80" s="23">
        <v>31.1</v>
      </c>
      <c r="AE80" s="23">
        <v>34.7</v>
      </c>
      <c r="AF80" s="23">
        <v>41.51</v>
      </c>
      <c r="AG80" s="23">
        <v>49.97</v>
      </c>
      <c r="AH80" s="23">
        <v>59.04</v>
      </c>
      <c r="AI80" s="23">
        <v>63.34</v>
      </c>
      <c r="AJ80" s="5"/>
      <c r="AK80" s="5"/>
      <c r="AL80" s="21">
        <v>78</v>
      </c>
      <c r="AM80" s="22">
        <f t="shared" si="7"/>
        <v>1248</v>
      </c>
      <c r="AN80" s="23">
        <v>22.1</v>
      </c>
      <c r="AO80" s="23">
        <v>22.1</v>
      </c>
      <c r="AP80" s="23">
        <v>25.87</v>
      </c>
      <c r="AQ80" s="23">
        <v>28.86</v>
      </c>
      <c r="AR80" s="23">
        <v>34.54</v>
      </c>
      <c r="AS80" s="23">
        <v>41.58</v>
      </c>
      <c r="AT80" s="23">
        <v>49.13</v>
      </c>
      <c r="AU80" s="23">
        <v>52.7</v>
      </c>
    </row>
    <row r="81" ht="15.6" spans="2:47">
      <c r="B81" s="21">
        <v>79</v>
      </c>
      <c r="C81" s="22">
        <f t="shared" si="4"/>
        <v>1264</v>
      </c>
      <c r="D81" s="23">
        <v>33.33</v>
      </c>
      <c r="E81" s="23">
        <v>33.33</v>
      </c>
      <c r="F81" s="23">
        <v>38.85</v>
      </c>
      <c r="G81" s="23">
        <v>42.63</v>
      </c>
      <c r="H81" s="23">
        <v>50.61</v>
      </c>
      <c r="I81" s="23">
        <v>61.22</v>
      </c>
      <c r="J81" s="23">
        <v>71.94</v>
      </c>
      <c r="K81" s="23">
        <v>77.19</v>
      </c>
      <c r="L81" s="4"/>
      <c r="M81" s="4"/>
      <c r="N81" s="21">
        <v>79</v>
      </c>
      <c r="O81" s="22">
        <f t="shared" si="5"/>
        <v>1264</v>
      </c>
      <c r="P81" s="23">
        <v>30.55</v>
      </c>
      <c r="Q81" s="23">
        <v>30.55</v>
      </c>
      <c r="R81" s="23">
        <v>35.61</v>
      </c>
      <c r="S81" s="23">
        <v>39.08</v>
      </c>
      <c r="T81" s="23">
        <v>46.39</v>
      </c>
      <c r="U81" s="23">
        <v>56.12</v>
      </c>
      <c r="V81" s="23">
        <v>65.95</v>
      </c>
      <c r="W81" s="23">
        <v>70.76</v>
      </c>
      <c r="X81" s="4"/>
      <c r="Y81" s="4"/>
      <c r="Z81" s="21">
        <v>79</v>
      </c>
      <c r="AA81" s="22">
        <f t="shared" si="6"/>
        <v>1264</v>
      </c>
      <c r="AB81" s="23">
        <v>27.77</v>
      </c>
      <c r="AC81" s="23">
        <v>27.77</v>
      </c>
      <c r="AD81" s="23">
        <v>32.37</v>
      </c>
      <c r="AE81" s="23">
        <v>35.52</v>
      </c>
      <c r="AF81" s="23">
        <v>42.17</v>
      </c>
      <c r="AG81" s="23">
        <v>51.01</v>
      </c>
      <c r="AH81" s="23">
        <v>59.95</v>
      </c>
      <c r="AI81" s="23">
        <v>64.32</v>
      </c>
      <c r="AJ81" s="5"/>
      <c r="AK81" s="5"/>
      <c r="AL81" s="21">
        <v>79</v>
      </c>
      <c r="AM81" s="22">
        <f t="shared" si="7"/>
        <v>1264</v>
      </c>
      <c r="AN81" s="23">
        <v>23.1</v>
      </c>
      <c r="AO81" s="23">
        <v>23.1</v>
      </c>
      <c r="AP81" s="23">
        <v>26.93</v>
      </c>
      <c r="AQ81" s="23">
        <v>29.56</v>
      </c>
      <c r="AR81" s="23">
        <v>35.08</v>
      </c>
      <c r="AS81" s="23">
        <v>42.44</v>
      </c>
      <c r="AT81" s="23">
        <v>49.87</v>
      </c>
      <c r="AU81" s="23">
        <v>53.52</v>
      </c>
    </row>
    <row r="82" ht="15.6" spans="2:47">
      <c r="B82" s="21">
        <v>80</v>
      </c>
      <c r="C82" s="22">
        <f t="shared" si="4"/>
        <v>1280</v>
      </c>
      <c r="D82" s="23">
        <v>34.23</v>
      </c>
      <c r="E82" s="23">
        <v>34.23</v>
      </c>
      <c r="F82" s="23">
        <v>39.6</v>
      </c>
      <c r="G82" s="23">
        <v>42.87</v>
      </c>
      <c r="H82" s="23">
        <v>51.81</v>
      </c>
      <c r="I82" s="23">
        <v>62.24</v>
      </c>
      <c r="J82" s="23">
        <v>72.94</v>
      </c>
      <c r="K82" s="23">
        <v>77.78</v>
      </c>
      <c r="L82" s="4"/>
      <c r="M82" s="4"/>
      <c r="N82" s="21">
        <v>80</v>
      </c>
      <c r="O82" s="22">
        <f t="shared" si="5"/>
        <v>1280</v>
      </c>
      <c r="P82" s="23">
        <v>31.38</v>
      </c>
      <c r="Q82" s="23">
        <v>31.38</v>
      </c>
      <c r="R82" s="23">
        <v>36.3</v>
      </c>
      <c r="S82" s="23">
        <v>39.3</v>
      </c>
      <c r="T82" s="23">
        <v>47.49</v>
      </c>
      <c r="U82" s="23">
        <v>57.05</v>
      </c>
      <c r="V82" s="23">
        <v>66.86</v>
      </c>
      <c r="W82" s="23">
        <v>71.3</v>
      </c>
      <c r="X82" s="4"/>
      <c r="Y82" s="4"/>
      <c r="Z82" s="21">
        <v>80</v>
      </c>
      <c r="AA82" s="22">
        <f t="shared" si="6"/>
        <v>1280</v>
      </c>
      <c r="AB82" s="23">
        <v>28.52</v>
      </c>
      <c r="AC82" s="23">
        <v>28.52</v>
      </c>
      <c r="AD82" s="23">
        <v>33</v>
      </c>
      <c r="AE82" s="23">
        <v>35.72</v>
      </c>
      <c r="AF82" s="23">
        <v>43.17</v>
      </c>
      <c r="AG82" s="23">
        <v>51.86</v>
      </c>
      <c r="AH82" s="23">
        <v>60.78</v>
      </c>
      <c r="AI82" s="23">
        <v>64.81</v>
      </c>
      <c r="AJ82" s="5"/>
      <c r="AK82" s="5"/>
      <c r="AL82" s="21">
        <v>80</v>
      </c>
      <c r="AM82" s="22">
        <f t="shared" si="7"/>
        <v>1280</v>
      </c>
      <c r="AN82" s="23">
        <v>23.73</v>
      </c>
      <c r="AO82" s="23">
        <v>23.73</v>
      </c>
      <c r="AP82" s="23">
        <v>27.46</v>
      </c>
      <c r="AQ82" s="23">
        <v>29.71</v>
      </c>
      <c r="AR82" s="23">
        <v>35.92</v>
      </c>
      <c r="AS82" s="23">
        <v>43.15</v>
      </c>
      <c r="AT82" s="23">
        <v>50.57</v>
      </c>
      <c r="AU82" s="23">
        <v>53.92</v>
      </c>
    </row>
    <row r="83" ht="15.6" spans="2:47">
      <c r="B83" s="21">
        <v>81</v>
      </c>
      <c r="C83" s="22">
        <f t="shared" si="4"/>
        <v>1296</v>
      </c>
      <c r="D83" s="23">
        <v>35.07</v>
      </c>
      <c r="E83" s="23">
        <v>35.07</v>
      </c>
      <c r="F83" s="23">
        <v>39.94</v>
      </c>
      <c r="G83" s="23">
        <v>43.91</v>
      </c>
      <c r="H83" s="23">
        <v>52.16</v>
      </c>
      <c r="I83" s="23">
        <v>63.04</v>
      </c>
      <c r="J83" s="23">
        <v>73.37</v>
      </c>
      <c r="K83" s="23">
        <v>78.04</v>
      </c>
      <c r="L83" s="4"/>
      <c r="M83" s="4"/>
      <c r="N83" s="21">
        <v>81</v>
      </c>
      <c r="O83" s="22">
        <f t="shared" si="5"/>
        <v>1296</v>
      </c>
      <c r="P83" s="23">
        <v>32.15</v>
      </c>
      <c r="Q83" s="23">
        <v>32.15</v>
      </c>
      <c r="R83" s="23">
        <v>36.61</v>
      </c>
      <c r="S83" s="23">
        <v>40.25</v>
      </c>
      <c r="T83" s="23">
        <v>47.81</v>
      </c>
      <c r="U83" s="23">
        <v>57.79</v>
      </c>
      <c r="V83" s="23">
        <v>67.26</v>
      </c>
      <c r="W83" s="23">
        <v>71.54</v>
      </c>
      <c r="X83" s="4"/>
      <c r="Y83" s="4"/>
      <c r="Z83" s="21">
        <v>81</v>
      </c>
      <c r="AA83" s="22">
        <f t="shared" si="6"/>
        <v>1296</v>
      </c>
      <c r="AB83" s="23">
        <v>29.22</v>
      </c>
      <c r="AC83" s="23">
        <v>29.22</v>
      </c>
      <c r="AD83" s="23">
        <v>33.28</v>
      </c>
      <c r="AE83" s="23">
        <v>36.59</v>
      </c>
      <c r="AF83" s="23">
        <v>43.46</v>
      </c>
      <c r="AG83" s="23">
        <v>52.53</v>
      </c>
      <c r="AH83" s="23">
        <v>61.14</v>
      </c>
      <c r="AI83" s="23">
        <v>65.03</v>
      </c>
      <c r="AJ83" s="5"/>
      <c r="AK83" s="5"/>
      <c r="AL83" s="21">
        <v>81</v>
      </c>
      <c r="AM83" s="22">
        <f t="shared" si="7"/>
        <v>1296</v>
      </c>
      <c r="AN83" s="23">
        <v>24.31</v>
      </c>
      <c r="AO83" s="23">
        <v>24.31</v>
      </c>
      <c r="AP83" s="23">
        <v>27.69</v>
      </c>
      <c r="AQ83" s="23">
        <v>30.44</v>
      </c>
      <c r="AR83" s="23">
        <v>36.16</v>
      </c>
      <c r="AS83" s="23">
        <v>43.7</v>
      </c>
      <c r="AT83" s="23">
        <v>50.88</v>
      </c>
      <c r="AU83" s="23">
        <v>54.11</v>
      </c>
    </row>
    <row r="84" ht="15.6" spans="2:47">
      <c r="B84" s="21">
        <v>82</v>
      </c>
      <c r="C84" s="22">
        <f t="shared" si="4"/>
        <v>1312</v>
      </c>
      <c r="D84" s="23">
        <v>36.18</v>
      </c>
      <c r="E84" s="23">
        <v>36.18</v>
      </c>
      <c r="F84" s="23">
        <v>40.9</v>
      </c>
      <c r="G84" s="23">
        <v>45.89</v>
      </c>
      <c r="H84" s="23">
        <v>53.45</v>
      </c>
      <c r="I84" s="23">
        <v>63.2</v>
      </c>
      <c r="J84" s="23">
        <v>75.27</v>
      </c>
      <c r="K84" s="23">
        <v>78.12</v>
      </c>
      <c r="L84" s="4"/>
      <c r="M84" s="4"/>
      <c r="N84" s="21">
        <v>82</v>
      </c>
      <c r="O84" s="22">
        <f t="shared" si="5"/>
        <v>1312</v>
      </c>
      <c r="P84" s="23">
        <v>33.17</v>
      </c>
      <c r="Q84" s="23">
        <v>33.17</v>
      </c>
      <c r="R84" s="23">
        <v>37.49</v>
      </c>
      <c r="S84" s="23">
        <v>42.07</v>
      </c>
      <c r="T84" s="23">
        <v>49</v>
      </c>
      <c r="U84" s="23">
        <v>57.93</v>
      </c>
      <c r="V84" s="23">
        <v>69</v>
      </c>
      <c r="W84" s="23">
        <v>71.61</v>
      </c>
      <c r="X84" s="4"/>
      <c r="Y84" s="4"/>
      <c r="Z84" s="21">
        <v>82</v>
      </c>
      <c r="AA84" s="22">
        <f t="shared" si="6"/>
        <v>1312</v>
      </c>
      <c r="AB84" s="23">
        <v>30.15</v>
      </c>
      <c r="AC84" s="23">
        <v>30.15</v>
      </c>
      <c r="AD84" s="23">
        <v>34.08</v>
      </c>
      <c r="AE84" s="23">
        <v>38.24</v>
      </c>
      <c r="AF84" s="23">
        <v>44.54</v>
      </c>
      <c r="AG84" s="23">
        <v>52.66</v>
      </c>
      <c r="AH84" s="23">
        <v>62.72</v>
      </c>
      <c r="AI84" s="23">
        <v>65.1</v>
      </c>
      <c r="AJ84" s="5"/>
      <c r="AK84" s="5"/>
      <c r="AL84" s="21">
        <v>82</v>
      </c>
      <c r="AM84" s="22">
        <f t="shared" si="7"/>
        <v>1312</v>
      </c>
      <c r="AN84" s="23">
        <v>25.08</v>
      </c>
      <c r="AO84" s="23">
        <v>25.08</v>
      </c>
      <c r="AP84" s="23">
        <v>28.35</v>
      </c>
      <c r="AQ84" s="23">
        <v>31.81</v>
      </c>
      <c r="AR84" s="23">
        <v>37.05</v>
      </c>
      <c r="AS84" s="23">
        <v>43.81</v>
      </c>
      <c r="AT84" s="23">
        <v>52.18</v>
      </c>
      <c r="AU84" s="23">
        <v>54.16</v>
      </c>
    </row>
    <row r="85" ht="15.6" spans="2:47">
      <c r="B85" s="21">
        <v>83</v>
      </c>
      <c r="C85" s="22">
        <f t="shared" si="4"/>
        <v>1328</v>
      </c>
      <c r="D85" s="23">
        <v>36.21</v>
      </c>
      <c r="E85" s="23">
        <v>36.21</v>
      </c>
      <c r="F85" s="23">
        <v>40.9</v>
      </c>
      <c r="G85" s="23">
        <v>45.89</v>
      </c>
      <c r="H85" s="23">
        <v>53.5</v>
      </c>
      <c r="I85" s="23">
        <v>63.4</v>
      </c>
      <c r="J85" s="23">
        <v>75.27</v>
      </c>
      <c r="K85" s="23">
        <v>78.12</v>
      </c>
      <c r="L85" s="4"/>
      <c r="M85" s="4"/>
      <c r="N85" s="21">
        <v>83</v>
      </c>
      <c r="O85" s="22">
        <f t="shared" si="5"/>
        <v>1328</v>
      </c>
      <c r="P85" s="23">
        <v>33.19</v>
      </c>
      <c r="Q85" s="23">
        <v>33.19</v>
      </c>
      <c r="R85" s="23">
        <v>37.49</v>
      </c>
      <c r="S85" s="23">
        <v>42.07</v>
      </c>
      <c r="T85" s="23">
        <v>49.04</v>
      </c>
      <c r="U85" s="23">
        <v>58.12</v>
      </c>
      <c r="V85" s="23">
        <v>69</v>
      </c>
      <c r="W85" s="23">
        <v>71.61</v>
      </c>
      <c r="X85" s="4"/>
      <c r="Y85" s="4"/>
      <c r="Z85" s="21">
        <v>83</v>
      </c>
      <c r="AA85" s="22">
        <f t="shared" si="6"/>
        <v>1328</v>
      </c>
      <c r="AB85" s="23">
        <v>30.17</v>
      </c>
      <c r="AC85" s="23">
        <v>30.17</v>
      </c>
      <c r="AD85" s="23">
        <v>34.08</v>
      </c>
      <c r="AE85" s="23">
        <v>38.24</v>
      </c>
      <c r="AF85" s="23">
        <v>44.58</v>
      </c>
      <c r="AG85" s="23">
        <v>52.83</v>
      </c>
      <c r="AH85" s="23">
        <v>62.72</v>
      </c>
      <c r="AI85" s="23">
        <v>65.1</v>
      </c>
      <c r="AJ85" s="5"/>
      <c r="AK85" s="5"/>
      <c r="AL85" s="21">
        <v>83</v>
      </c>
      <c r="AM85" s="22">
        <f t="shared" si="7"/>
        <v>1328</v>
      </c>
      <c r="AN85" s="23">
        <v>25.11</v>
      </c>
      <c r="AO85" s="23">
        <v>25.11</v>
      </c>
      <c r="AP85" s="23">
        <v>28.36</v>
      </c>
      <c r="AQ85" s="23">
        <v>31.81</v>
      </c>
      <c r="AR85" s="23">
        <v>37.09</v>
      </c>
      <c r="AS85" s="23">
        <v>43.96</v>
      </c>
      <c r="AT85" s="23">
        <v>52.2</v>
      </c>
      <c r="AU85" s="23">
        <v>54.18</v>
      </c>
    </row>
    <row r="86" ht="15.6" spans="2:47">
      <c r="B86" s="21">
        <v>84</v>
      </c>
      <c r="C86" s="22">
        <f t="shared" si="4"/>
        <v>1344</v>
      </c>
      <c r="D86" s="23">
        <v>37.66</v>
      </c>
      <c r="E86" s="23">
        <v>37.66</v>
      </c>
      <c r="F86" s="23">
        <v>42.53</v>
      </c>
      <c r="G86" s="23">
        <v>47.24</v>
      </c>
      <c r="H86" s="23">
        <v>54.02</v>
      </c>
      <c r="I86" s="23">
        <v>64.94</v>
      </c>
      <c r="J86" s="23">
        <v>76.18</v>
      </c>
      <c r="K86" s="23">
        <v>78.66</v>
      </c>
      <c r="L86" s="4"/>
      <c r="M86" s="4"/>
      <c r="N86" s="21">
        <v>84</v>
      </c>
      <c r="O86" s="22">
        <f t="shared" si="5"/>
        <v>1344</v>
      </c>
      <c r="P86" s="23">
        <v>34.52</v>
      </c>
      <c r="Q86" s="23">
        <v>34.52</v>
      </c>
      <c r="R86" s="23">
        <v>38.99</v>
      </c>
      <c r="S86" s="23">
        <v>43.3</v>
      </c>
      <c r="T86" s="23">
        <v>49.52</v>
      </c>
      <c r="U86" s="23">
        <v>59.53</v>
      </c>
      <c r="V86" s="23">
        <v>69.83</v>
      </c>
      <c r="W86" s="23">
        <v>72.11</v>
      </c>
      <c r="X86" s="4"/>
      <c r="Y86" s="4"/>
      <c r="Z86" s="21">
        <v>84</v>
      </c>
      <c r="AA86" s="22">
        <f t="shared" si="6"/>
        <v>1344</v>
      </c>
      <c r="AB86" s="23">
        <v>31.38</v>
      </c>
      <c r="AC86" s="23">
        <v>31.38</v>
      </c>
      <c r="AD86" s="23">
        <v>35.44</v>
      </c>
      <c r="AE86" s="23">
        <v>39.36</v>
      </c>
      <c r="AF86" s="23">
        <v>45.01</v>
      </c>
      <c r="AG86" s="23">
        <v>54.11</v>
      </c>
      <c r="AH86" s="23">
        <v>63.48</v>
      </c>
      <c r="AI86" s="23">
        <v>65.55</v>
      </c>
      <c r="AJ86" s="5"/>
      <c r="AK86" s="5"/>
      <c r="AL86" s="21">
        <v>84</v>
      </c>
      <c r="AM86" s="22">
        <f t="shared" si="7"/>
        <v>1344</v>
      </c>
      <c r="AN86" s="23">
        <v>26.1</v>
      </c>
      <c r="AO86" s="23">
        <v>26.1</v>
      </c>
      <c r="AP86" s="23">
        <v>29.48</v>
      </c>
      <c r="AQ86" s="23">
        <v>32.74</v>
      </c>
      <c r="AR86" s="23">
        <v>37.44</v>
      </c>
      <c r="AS86" s="23">
        <v>45.02</v>
      </c>
      <c r="AT86" s="23">
        <v>52.81</v>
      </c>
      <c r="AU86" s="23">
        <v>54.54</v>
      </c>
    </row>
    <row r="87" ht="15.6" spans="2:47">
      <c r="B87" s="21">
        <v>85</v>
      </c>
      <c r="C87" s="22">
        <f t="shared" si="4"/>
        <v>1360</v>
      </c>
      <c r="D87" s="23">
        <v>38.67</v>
      </c>
      <c r="E87" s="23">
        <v>38.67</v>
      </c>
      <c r="F87" s="23">
        <v>42.54</v>
      </c>
      <c r="G87" s="23">
        <v>47.27</v>
      </c>
      <c r="H87" s="23">
        <v>54.88</v>
      </c>
      <c r="I87" s="23">
        <v>65.34</v>
      </c>
      <c r="J87" s="23">
        <v>77.01</v>
      </c>
      <c r="K87" s="23">
        <v>79.53</v>
      </c>
      <c r="L87" s="4"/>
      <c r="M87" s="4"/>
      <c r="N87" s="21">
        <v>85</v>
      </c>
      <c r="O87" s="22">
        <f t="shared" si="5"/>
        <v>1360</v>
      </c>
      <c r="P87" s="23">
        <v>35.45</v>
      </c>
      <c r="Q87" s="23">
        <v>35.45</v>
      </c>
      <c r="R87" s="23">
        <v>39</v>
      </c>
      <c r="S87" s="23">
        <v>43.33</v>
      </c>
      <c r="T87" s="23">
        <v>50.31</v>
      </c>
      <c r="U87" s="23">
        <v>59.9</v>
      </c>
      <c r="V87" s="23">
        <v>70.59</v>
      </c>
      <c r="W87" s="23">
        <v>72.9</v>
      </c>
      <c r="X87" s="4"/>
      <c r="Y87" s="4"/>
      <c r="Z87" s="21">
        <v>85</v>
      </c>
      <c r="AA87" s="22">
        <f t="shared" si="6"/>
        <v>1360</v>
      </c>
      <c r="AB87" s="23">
        <v>32.22</v>
      </c>
      <c r="AC87" s="23">
        <v>32.22</v>
      </c>
      <c r="AD87" s="23">
        <v>35.45</v>
      </c>
      <c r="AE87" s="23">
        <v>39.39</v>
      </c>
      <c r="AF87" s="23">
        <v>45.73</v>
      </c>
      <c r="AG87" s="23">
        <v>54.45</v>
      </c>
      <c r="AH87" s="23">
        <v>64.17</v>
      </c>
      <c r="AI87" s="23">
        <v>66.27</v>
      </c>
      <c r="AJ87" s="5"/>
      <c r="AK87" s="5"/>
      <c r="AL87" s="21">
        <v>85</v>
      </c>
      <c r="AM87" s="22">
        <f t="shared" si="7"/>
        <v>1360</v>
      </c>
      <c r="AN87" s="23">
        <v>26.81</v>
      </c>
      <c r="AO87" s="23">
        <v>26.81</v>
      </c>
      <c r="AP87" s="23">
        <v>29.49</v>
      </c>
      <c r="AQ87" s="23">
        <v>32.77</v>
      </c>
      <c r="AR87" s="23">
        <v>38.05</v>
      </c>
      <c r="AS87" s="23">
        <v>45.31</v>
      </c>
      <c r="AT87" s="23">
        <v>53.38</v>
      </c>
      <c r="AU87" s="23">
        <v>55.13</v>
      </c>
    </row>
    <row r="88" ht="15.6" spans="2:47">
      <c r="B88" s="21">
        <v>86</v>
      </c>
      <c r="C88" s="22">
        <f t="shared" si="4"/>
        <v>1376</v>
      </c>
      <c r="D88" s="23">
        <v>40.07</v>
      </c>
      <c r="E88" s="23">
        <v>40.07</v>
      </c>
      <c r="F88" s="23">
        <v>44.9</v>
      </c>
      <c r="G88" s="23">
        <v>49.1</v>
      </c>
      <c r="H88" s="23">
        <v>55.94</v>
      </c>
      <c r="I88" s="23">
        <v>66.76</v>
      </c>
      <c r="J88" s="23">
        <v>79.16</v>
      </c>
      <c r="K88" s="23">
        <v>81.94</v>
      </c>
      <c r="L88" s="4"/>
      <c r="M88" s="4"/>
      <c r="N88" s="21">
        <v>86</v>
      </c>
      <c r="O88" s="22">
        <f t="shared" si="5"/>
        <v>1376</v>
      </c>
      <c r="P88" s="23">
        <v>36.73</v>
      </c>
      <c r="Q88" s="23">
        <v>36.73</v>
      </c>
      <c r="R88" s="23">
        <v>41.16</v>
      </c>
      <c r="S88" s="23">
        <v>45.01</v>
      </c>
      <c r="T88" s="23">
        <v>51.28</v>
      </c>
      <c r="U88" s="23">
        <v>61.2</v>
      </c>
      <c r="V88" s="23">
        <v>72.56</v>
      </c>
      <c r="W88" s="23">
        <v>75.11</v>
      </c>
      <c r="X88" s="4"/>
      <c r="Y88" s="4"/>
      <c r="Z88" s="21">
        <v>86</v>
      </c>
      <c r="AA88" s="22">
        <f t="shared" si="6"/>
        <v>1376</v>
      </c>
      <c r="AB88" s="23">
        <v>33.39</v>
      </c>
      <c r="AC88" s="23">
        <v>33.39</v>
      </c>
      <c r="AD88" s="23">
        <v>37.41</v>
      </c>
      <c r="AE88" s="23">
        <v>40.91</v>
      </c>
      <c r="AF88" s="23">
        <v>46.61</v>
      </c>
      <c r="AG88" s="23">
        <v>55.63</v>
      </c>
      <c r="AH88" s="23">
        <v>65.96</v>
      </c>
      <c r="AI88" s="23">
        <v>68.28</v>
      </c>
      <c r="AJ88" s="5"/>
      <c r="AK88" s="5"/>
      <c r="AL88" s="21">
        <v>86</v>
      </c>
      <c r="AM88" s="22">
        <f t="shared" si="7"/>
        <v>1376</v>
      </c>
      <c r="AN88" s="23">
        <v>27.79</v>
      </c>
      <c r="AO88" s="23">
        <v>27.79</v>
      </c>
      <c r="AP88" s="23">
        <v>31.13</v>
      </c>
      <c r="AQ88" s="23">
        <v>34.05</v>
      </c>
      <c r="AR88" s="23">
        <v>38.78</v>
      </c>
      <c r="AS88" s="23">
        <v>46.28</v>
      </c>
      <c r="AT88" s="23">
        <v>54.88</v>
      </c>
      <c r="AU88" s="23">
        <v>56.82</v>
      </c>
    </row>
    <row r="89" ht="15.6" spans="2:47">
      <c r="B89" s="21">
        <v>87</v>
      </c>
      <c r="C89" s="22">
        <f t="shared" si="4"/>
        <v>1392</v>
      </c>
      <c r="D89" s="23">
        <v>40.9</v>
      </c>
      <c r="E89" s="23">
        <v>40.9</v>
      </c>
      <c r="F89" s="23">
        <v>44.92</v>
      </c>
      <c r="G89" s="23">
        <v>49.12</v>
      </c>
      <c r="H89" s="23">
        <v>55.94</v>
      </c>
      <c r="I89" s="23">
        <v>67.62</v>
      </c>
      <c r="J89" s="23">
        <v>79.24</v>
      </c>
      <c r="K89" s="23">
        <v>82.1</v>
      </c>
      <c r="L89" s="4"/>
      <c r="M89" s="4"/>
      <c r="N89" s="21">
        <v>87</v>
      </c>
      <c r="O89" s="22">
        <f t="shared" si="5"/>
        <v>1392</v>
      </c>
      <c r="P89" s="23">
        <v>37.49</v>
      </c>
      <c r="Q89" s="23">
        <v>37.49</v>
      </c>
      <c r="R89" s="23">
        <v>41.18</v>
      </c>
      <c r="S89" s="23">
        <v>45.03</v>
      </c>
      <c r="T89" s="23">
        <v>51.28</v>
      </c>
      <c r="U89" s="23">
        <v>61.99</v>
      </c>
      <c r="V89" s="23">
        <v>72.64</v>
      </c>
      <c r="W89" s="23">
        <v>75.26</v>
      </c>
      <c r="X89" s="4"/>
      <c r="Y89" s="4"/>
      <c r="Z89" s="21">
        <v>87</v>
      </c>
      <c r="AA89" s="22">
        <f t="shared" si="6"/>
        <v>1392</v>
      </c>
      <c r="AB89" s="23">
        <v>34.08</v>
      </c>
      <c r="AC89" s="23">
        <v>34.08</v>
      </c>
      <c r="AD89" s="23">
        <v>37.43</v>
      </c>
      <c r="AE89" s="23">
        <v>40.93</v>
      </c>
      <c r="AF89" s="23">
        <v>46.61</v>
      </c>
      <c r="AG89" s="23">
        <v>56.35</v>
      </c>
      <c r="AH89" s="23">
        <v>66.03</v>
      </c>
      <c r="AI89" s="23">
        <v>68.41</v>
      </c>
      <c r="AJ89" s="5"/>
      <c r="AK89" s="5"/>
      <c r="AL89" s="21">
        <v>87</v>
      </c>
      <c r="AM89" s="22">
        <f t="shared" si="7"/>
        <v>1392</v>
      </c>
      <c r="AN89" s="23">
        <v>28.35</v>
      </c>
      <c r="AO89" s="23">
        <v>28.35</v>
      </c>
      <c r="AP89" s="23">
        <v>31.14</v>
      </c>
      <c r="AQ89" s="23">
        <v>34.05</v>
      </c>
      <c r="AR89" s="23">
        <v>38.78</v>
      </c>
      <c r="AS89" s="23">
        <v>46.88</v>
      </c>
      <c r="AT89" s="23">
        <v>54.95</v>
      </c>
      <c r="AU89" s="23">
        <v>56.91</v>
      </c>
    </row>
    <row r="90" ht="15.6" spans="2:47">
      <c r="B90" s="21">
        <v>88</v>
      </c>
      <c r="C90" s="22">
        <f t="shared" si="4"/>
        <v>1408</v>
      </c>
      <c r="D90" s="23">
        <v>42.59</v>
      </c>
      <c r="E90" s="23">
        <v>42.59</v>
      </c>
      <c r="F90" s="23">
        <v>45.93</v>
      </c>
      <c r="G90" s="23">
        <v>50.66</v>
      </c>
      <c r="H90" s="23">
        <v>57.74</v>
      </c>
      <c r="I90" s="23">
        <v>67.86</v>
      </c>
      <c r="J90" s="23">
        <v>79.32</v>
      </c>
      <c r="K90" s="23">
        <v>82.98</v>
      </c>
      <c r="L90" s="4"/>
      <c r="M90" s="4"/>
      <c r="N90" s="21">
        <v>88</v>
      </c>
      <c r="O90" s="22">
        <f t="shared" si="5"/>
        <v>1408</v>
      </c>
      <c r="P90" s="23">
        <v>39.04</v>
      </c>
      <c r="Q90" s="23">
        <v>39.04</v>
      </c>
      <c r="R90" s="23">
        <v>42.1</v>
      </c>
      <c r="S90" s="23">
        <v>46.44</v>
      </c>
      <c r="T90" s="23">
        <v>52.93</v>
      </c>
      <c r="U90" s="23">
        <v>62.21</v>
      </c>
      <c r="V90" s="23">
        <v>72.71</v>
      </c>
      <c r="W90" s="23">
        <v>76.07</v>
      </c>
      <c r="X90" s="4"/>
      <c r="Y90" s="4"/>
      <c r="Z90" s="21">
        <v>88</v>
      </c>
      <c r="AA90" s="22">
        <f t="shared" si="6"/>
        <v>1408</v>
      </c>
      <c r="AB90" s="23">
        <v>35.49</v>
      </c>
      <c r="AC90" s="23">
        <v>35.49</v>
      </c>
      <c r="AD90" s="23">
        <v>38.27</v>
      </c>
      <c r="AE90" s="23">
        <v>42.21</v>
      </c>
      <c r="AF90" s="23">
        <v>48.11</v>
      </c>
      <c r="AG90" s="23">
        <v>56.55</v>
      </c>
      <c r="AH90" s="23">
        <v>66.1</v>
      </c>
      <c r="AI90" s="23">
        <v>69.15</v>
      </c>
      <c r="AJ90" s="5"/>
      <c r="AK90" s="5"/>
      <c r="AL90" s="21">
        <v>88</v>
      </c>
      <c r="AM90" s="22">
        <f t="shared" si="7"/>
        <v>1408</v>
      </c>
      <c r="AN90" s="23">
        <v>29.54</v>
      </c>
      <c r="AO90" s="23">
        <v>29.54</v>
      </c>
      <c r="AP90" s="23">
        <v>31.83</v>
      </c>
      <c r="AQ90" s="23">
        <v>35.12</v>
      </c>
      <c r="AR90" s="23">
        <v>40.03</v>
      </c>
      <c r="AS90" s="23">
        <v>47.06</v>
      </c>
      <c r="AT90" s="23">
        <v>54.99</v>
      </c>
      <c r="AU90" s="23">
        <v>57.53</v>
      </c>
    </row>
    <row r="91" ht="15.6" spans="2:47">
      <c r="B91" s="21">
        <v>89</v>
      </c>
      <c r="C91" s="22">
        <f t="shared" si="4"/>
        <v>1424</v>
      </c>
      <c r="D91" s="23">
        <v>44.51</v>
      </c>
      <c r="E91" s="23">
        <v>44.51</v>
      </c>
      <c r="F91" s="23">
        <v>47.2</v>
      </c>
      <c r="G91" s="23">
        <v>51.66</v>
      </c>
      <c r="H91" s="23">
        <v>57.92</v>
      </c>
      <c r="I91" s="23">
        <v>69.34</v>
      </c>
      <c r="J91" s="23">
        <v>80.14</v>
      </c>
      <c r="K91" s="23">
        <v>84.71</v>
      </c>
      <c r="L91" s="4"/>
      <c r="M91" s="4"/>
      <c r="N91" s="21">
        <v>89</v>
      </c>
      <c r="O91" s="22">
        <f t="shared" si="5"/>
        <v>1424</v>
      </c>
      <c r="P91" s="23">
        <v>40.8</v>
      </c>
      <c r="Q91" s="23">
        <v>40.8</v>
      </c>
      <c r="R91" s="23">
        <v>43.27</v>
      </c>
      <c r="S91" s="23">
        <v>47.36</v>
      </c>
      <c r="T91" s="23">
        <v>53.09</v>
      </c>
      <c r="U91" s="23">
        <v>63.56</v>
      </c>
      <c r="V91" s="23">
        <v>73.46</v>
      </c>
      <c r="W91" s="23">
        <v>77.65</v>
      </c>
      <c r="X91" s="4"/>
      <c r="Y91" s="4"/>
      <c r="Z91" s="21">
        <v>89</v>
      </c>
      <c r="AA91" s="22">
        <f t="shared" si="6"/>
        <v>1424</v>
      </c>
      <c r="AB91" s="23">
        <v>37.09</v>
      </c>
      <c r="AC91" s="23">
        <v>37.09</v>
      </c>
      <c r="AD91" s="23">
        <v>39.33</v>
      </c>
      <c r="AE91" s="23">
        <v>43.05</v>
      </c>
      <c r="AF91" s="23">
        <v>48.26</v>
      </c>
      <c r="AG91" s="23">
        <v>57.78</v>
      </c>
      <c r="AH91" s="23">
        <v>66.78</v>
      </c>
      <c r="AI91" s="23">
        <v>70.59</v>
      </c>
      <c r="AJ91" s="5"/>
      <c r="AK91" s="5"/>
      <c r="AL91" s="21">
        <v>89</v>
      </c>
      <c r="AM91" s="22">
        <f t="shared" si="7"/>
        <v>1424</v>
      </c>
      <c r="AN91" s="23">
        <v>30.86</v>
      </c>
      <c r="AO91" s="23">
        <v>30.86</v>
      </c>
      <c r="AP91" s="23">
        <v>32.73</v>
      </c>
      <c r="AQ91" s="23">
        <v>35.82</v>
      </c>
      <c r="AR91" s="23">
        <v>40.16</v>
      </c>
      <c r="AS91" s="23">
        <v>48.08</v>
      </c>
      <c r="AT91" s="23">
        <v>55.56</v>
      </c>
      <c r="AU91" s="23">
        <v>58.74</v>
      </c>
    </row>
    <row r="92" ht="15.6" spans="2:47">
      <c r="B92" s="21">
        <v>90</v>
      </c>
      <c r="C92" s="22">
        <f t="shared" si="4"/>
        <v>1440</v>
      </c>
      <c r="D92" s="23">
        <v>47.19</v>
      </c>
      <c r="E92" s="23">
        <v>47.19</v>
      </c>
      <c r="F92" s="23">
        <v>49.26</v>
      </c>
      <c r="G92" s="23">
        <v>53.84</v>
      </c>
      <c r="H92" s="23">
        <v>59.63</v>
      </c>
      <c r="I92" s="23">
        <v>70.34</v>
      </c>
      <c r="J92" s="23">
        <v>81.99</v>
      </c>
      <c r="K92" s="23">
        <v>86.39</v>
      </c>
      <c r="L92" s="4"/>
      <c r="M92" s="4"/>
      <c r="N92" s="21">
        <v>90</v>
      </c>
      <c r="O92" s="22">
        <f t="shared" si="5"/>
        <v>1440</v>
      </c>
      <c r="P92" s="23">
        <v>43.26</v>
      </c>
      <c r="Q92" s="23">
        <v>43.26</v>
      </c>
      <c r="R92" s="23">
        <v>45.16</v>
      </c>
      <c r="S92" s="23">
        <v>49.35</v>
      </c>
      <c r="T92" s="23">
        <v>54.66</v>
      </c>
      <c r="U92" s="23">
        <v>64.48</v>
      </c>
      <c r="V92" s="23">
        <v>75.16</v>
      </c>
      <c r="W92" s="23">
        <v>79.19</v>
      </c>
      <c r="X92" s="4"/>
      <c r="Y92" s="4"/>
      <c r="Z92" s="21">
        <v>90</v>
      </c>
      <c r="AA92" s="22">
        <f t="shared" si="6"/>
        <v>1440</v>
      </c>
      <c r="AB92" s="23">
        <v>39.32</v>
      </c>
      <c r="AC92" s="23">
        <v>39.32</v>
      </c>
      <c r="AD92" s="23">
        <v>41.05</v>
      </c>
      <c r="AE92" s="23">
        <v>44.86</v>
      </c>
      <c r="AF92" s="23">
        <v>49.69</v>
      </c>
      <c r="AG92" s="23">
        <v>58.61</v>
      </c>
      <c r="AH92" s="23">
        <v>68.32</v>
      </c>
      <c r="AI92" s="23">
        <v>71.99</v>
      </c>
      <c r="AJ92" s="5"/>
      <c r="AK92" s="5"/>
      <c r="AL92" s="21">
        <v>90</v>
      </c>
      <c r="AM92" s="22">
        <f t="shared" si="7"/>
        <v>1440</v>
      </c>
      <c r="AN92" s="23">
        <v>32.71</v>
      </c>
      <c r="AO92" s="23">
        <v>32.71</v>
      </c>
      <c r="AP92" s="23">
        <v>34.14</v>
      </c>
      <c r="AQ92" s="23">
        <v>37.32</v>
      </c>
      <c r="AR92" s="23">
        <v>41.34</v>
      </c>
      <c r="AS92" s="23">
        <v>48.76</v>
      </c>
      <c r="AT92" s="23">
        <v>56.84</v>
      </c>
      <c r="AU92" s="23">
        <v>59.9</v>
      </c>
    </row>
    <row r="93" ht="15.6" spans="2:47">
      <c r="B93" s="21">
        <v>91</v>
      </c>
      <c r="C93" s="22">
        <f t="shared" si="4"/>
        <v>1456</v>
      </c>
      <c r="D93" s="23">
        <v>47.2</v>
      </c>
      <c r="E93" s="23">
        <v>47.2</v>
      </c>
      <c r="F93" s="23">
        <v>49.26</v>
      </c>
      <c r="G93" s="23">
        <v>53.85</v>
      </c>
      <c r="H93" s="23">
        <v>59.68</v>
      </c>
      <c r="I93" s="23">
        <v>70.4</v>
      </c>
      <c r="J93" s="23">
        <v>81.99</v>
      </c>
      <c r="K93" s="23">
        <v>86.42</v>
      </c>
      <c r="L93" s="4"/>
      <c r="M93" s="4"/>
      <c r="N93" s="21">
        <v>91</v>
      </c>
      <c r="O93" s="22">
        <f t="shared" si="5"/>
        <v>1456</v>
      </c>
      <c r="P93" s="23">
        <v>43.27</v>
      </c>
      <c r="Q93" s="23">
        <v>43.27</v>
      </c>
      <c r="R93" s="23">
        <v>45.16</v>
      </c>
      <c r="S93" s="23">
        <v>49.36</v>
      </c>
      <c r="T93" s="23">
        <v>54.71</v>
      </c>
      <c r="U93" s="23">
        <v>64.53</v>
      </c>
      <c r="V93" s="23">
        <v>75.16</v>
      </c>
      <c r="W93" s="23">
        <v>79.22</v>
      </c>
      <c r="X93" s="4"/>
      <c r="Y93" s="4"/>
      <c r="Z93" s="21">
        <v>91</v>
      </c>
      <c r="AA93" s="22">
        <f t="shared" si="6"/>
        <v>1456</v>
      </c>
      <c r="AB93" s="23">
        <v>39.33</v>
      </c>
      <c r="AC93" s="23">
        <v>39.33</v>
      </c>
      <c r="AD93" s="23">
        <v>41.05</v>
      </c>
      <c r="AE93" s="23">
        <v>44.87</v>
      </c>
      <c r="AF93" s="23">
        <v>49.73</v>
      </c>
      <c r="AG93" s="23">
        <v>58.66</v>
      </c>
      <c r="AH93" s="23">
        <v>68.32</v>
      </c>
      <c r="AI93" s="23">
        <v>72.01</v>
      </c>
      <c r="AJ93" s="5"/>
      <c r="AK93" s="5"/>
      <c r="AL93" s="21">
        <v>91</v>
      </c>
      <c r="AM93" s="22">
        <f t="shared" si="7"/>
        <v>1456</v>
      </c>
      <c r="AN93" s="23">
        <v>32.73</v>
      </c>
      <c r="AO93" s="23">
        <v>32.73</v>
      </c>
      <c r="AP93" s="23">
        <v>34.14</v>
      </c>
      <c r="AQ93" s="23">
        <v>37.33</v>
      </c>
      <c r="AR93" s="23">
        <v>41.37</v>
      </c>
      <c r="AS93" s="23">
        <v>48.81</v>
      </c>
      <c r="AT93" s="23">
        <v>56.85</v>
      </c>
      <c r="AU93" s="23">
        <v>59.91</v>
      </c>
    </row>
    <row r="94" ht="15.6" spans="2:47">
      <c r="B94" s="21">
        <v>92</v>
      </c>
      <c r="C94" s="22">
        <f t="shared" si="4"/>
        <v>1472</v>
      </c>
      <c r="D94" s="23">
        <v>48.26</v>
      </c>
      <c r="E94" s="23">
        <v>48.26</v>
      </c>
      <c r="F94" s="23">
        <v>49.67</v>
      </c>
      <c r="G94" s="23">
        <v>54.14</v>
      </c>
      <c r="H94" s="23">
        <v>60.14</v>
      </c>
      <c r="I94" s="23">
        <v>71.1</v>
      </c>
      <c r="J94" s="23">
        <v>82.01</v>
      </c>
      <c r="K94" s="23">
        <v>86.56</v>
      </c>
      <c r="L94" s="4"/>
      <c r="M94" s="4"/>
      <c r="N94" s="21">
        <v>92</v>
      </c>
      <c r="O94" s="22">
        <f t="shared" si="5"/>
        <v>1472</v>
      </c>
      <c r="P94" s="23">
        <v>44.24</v>
      </c>
      <c r="Q94" s="23">
        <v>44.24</v>
      </c>
      <c r="R94" s="23">
        <v>45.53</v>
      </c>
      <c r="S94" s="23">
        <v>49.63</v>
      </c>
      <c r="T94" s="23">
        <v>55.13</v>
      </c>
      <c r="U94" s="23">
        <v>65.18</v>
      </c>
      <c r="V94" s="23">
        <v>75.18</v>
      </c>
      <c r="W94" s="23">
        <v>79.35</v>
      </c>
      <c r="X94" s="4"/>
      <c r="Y94" s="4"/>
      <c r="Z94" s="21">
        <v>92</v>
      </c>
      <c r="AA94" s="22">
        <f t="shared" si="6"/>
        <v>1472</v>
      </c>
      <c r="AB94" s="23">
        <v>40.21</v>
      </c>
      <c r="AC94" s="23">
        <v>40.21</v>
      </c>
      <c r="AD94" s="23">
        <v>41.39</v>
      </c>
      <c r="AE94" s="23">
        <v>45.11</v>
      </c>
      <c r="AF94" s="23">
        <v>50.11</v>
      </c>
      <c r="AG94" s="23">
        <v>59.25</v>
      </c>
      <c r="AH94" s="23">
        <v>68.34</v>
      </c>
      <c r="AI94" s="23">
        <v>72.13</v>
      </c>
      <c r="AJ94" s="5"/>
      <c r="AK94" s="5"/>
      <c r="AL94" s="21">
        <v>92</v>
      </c>
      <c r="AM94" s="22">
        <f t="shared" si="7"/>
        <v>1472</v>
      </c>
      <c r="AN94" s="23">
        <v>33.45</v>
      </c>
      <c r="AO94" s="23">
        <v>33.45</v>
      </c>
      <c r="AP94" s="23">
        <v>34.44</v>
      </c>
      <c r="AQ94" s="23">
        <v>37.53</v>
      </c>
      <c r="AR94" s="23">
        <v>41.7</v>
      </c>
      <c r="AS94" s="23">
        <v>49.3</v>
      </c>
      <c r="AT94" s="23">
        <v>56.86</v>
      </c>
      <c r="AU94" s="23">
        <v>60.02</v>
      </c>
    </row>
    <row r="95" ht="15.6" spans="2:47">
      <c r="B95" s="21">
        <v>93</v>
      </c>
      <c r="C95" s="22">
        <f t="shared" si="4"/>
        <v>1488</v>
      </c>
      <c r="D95" s="23">
        <v>48.92</v>
      </c>
      <c r="E95" s="23">
        <v>48.92</v>
      </c>
      <c r="F95" s="23">
        <v>50.21</v>
      </c>
      <c r="G95" s="23">
        <v>55.22</v>
      </c>
      <c r="H95" s="23">
        <v>60.27</v>
      </c>
      <c r="I95" s="23">
        <v>71.26</v>
      </c>
      <c r="J95" s="23">
        <v>82.01</v>
      </c>
      <c r="K95" s="23">
        <v>86.67</v>
      </c>
      <c r="L95" s="4"/>
      <c r="M95" s="4"/>
      <c r="N95" s="21">
        <v>93</v>
      </c>
      <c r="O95" s="22">
        <f t="shared" si="5"/>
        <v>1488</v>
      </c>
      <c r="P95" s="23">
        <v>44.84</v>
      </c>
      <c r="Q95" s="23">
        <v>44.84</v>
      </c>
      <c r="R95" s="23">
        <v>46.03</v>
      </c>
      <c r="S95" s="23">
        <v>50.62</v>
      </c>
      <c r="T95" s="23">
        <v>55.25</v>
      </c>
      <c r="U95" s="23">
        <v>65.32</v>
      </c>
      <c r="V95" s="23">
        <v>75.18</v>
      </c>
      <c r="W95" s="23">
        <v>79.45</v>
      </c>
      <c r="X95" s="4"/>
      <c r="Y95" s="4"/>
      <c r="Z95" s="21">
        <v>93</v>
      </c>
      <c r="AA95" s="22">
        <f t="shared" si="6"/>
        <v>1488</v>
      </c>
      <c r="AB95" s="23">
        <v>40.76</v>
      </c>
      <c r="AC95" s="23">
        <v>40.76</v>
      </c>
      <c r="AD95" s="23">
        <v>41.84</v>
      </c>
      <c r="AE95" s="23">
        <v>46.01</v>
      </c>
      <c r="AF95" s="23">
        <v>50.22</v>
      </c>
      <c r="AG95" s="23">
        <v>59.38</v>
      </c>
      <c r="AH95" s="23">
        <v>68.34</v>
      </c>
      <c r="AI95" s="23">
        <v>72.22</v>
      </c>
      <c r="AJ95" s="5"/>
      <c r="AK95" s="5"/>
      <c r="AL95" s="21">
        <v>93</v>
      </c>
      <c r="AM95" s="22">
        <f t="shared" si="7"/>
        <v>1488</v>
      </c>
      <c r="AN95" s="23">
        <v>33.9</v>
      </c>
      <c r="AO95" s="23">
        <v>33.9</v>
      </c>
      <c r="AP95" s="23">
        <v>34.8</v>
      </c>
      <c r="AQ95" s="23">
        <v>38.28</v>
      </c>
      <c r="AR95" s="23">
        <v>41.78</v>
      </c>
      <c r="AS95" s="23">
        <v>49.4</v>
      </c>
      <c r="AT95" s="23">
        <v>56.86</v>
      </c>
      <c r="AU95" s="23">
        <v>60.08</v>
      </c>
    </row>
    <row r="96" ht="15.6" spans="2:47">
      <c r="B96" s="21">
        <v>94</v>
      </c>
      <c r="C96" s="22">
        <f t="shared" si="4"/>
        <v>1504</v>
      </c>
      <c r="D96" s="23">
        <v>49.14</v>
      </c>
      <c r="E96" s="23">
        <v>49.14</v>
      </c>
      <c r="F96" s="23">
        <v>51.52</v>
      </c>
      <c r="G96" s="23">
        <v>55.48</v>
      </c>
      <c r="H96" s="23">
        <v>61.05</v>
      </c>
      <c r="I96" s="23">
        <v>72.77</v>
      </c>
      <c r="J96" s="23">
        <v>82.02</v>
      </c>
      <c r="K96" s="23">
        <v>88.37</v>
      </c>
      <c r="L96" s="4"/>
      <c r="M96" s="4"/>
      <c r="N96" s="21">
        <v>94</v>
      </c>
      <c r="O96" s="22">
        <f t="shared" si="5"/>
        <v>1504</v>
      </c>
      <c r="P96" s="23">
        <v>45.05</v>
      </c>
      <c r="Q96" s="23">
        <v>45.05</v>
      </c>
      <c r="R96" s="23">
        <v>47.23</v>
      </c>
      <c r="S96" s="23">
        <v>50.86</v>
      </c>
      <c r="T96" s="23">
        <v>55.96</v>
      </c>
      <c r="U96" s="23">
        <v>66.71</v>
      </c>
      <c r="V96" s="23">
        <v>75.19</v>
      </c>
      <c r="W96" s="23">
        <v>81.01</v>
      </c>
      <c r="X96" s="4"/>
      <c r="Y96" s="4"/>
      <c r="Z96" s="21">
        <v>94</v>
      </c>
      <c r="AA96" s="22">
        <f t="shared" si="6"/>
        <v>1504</v>
      </c>
      <c r="AB96" s="23">
        <v>40.95</v>
      </c>
      <c r="AC96" s="23">
        <v>40.95</v>
      </c>
      <c r="AD96" s="23">
        <v>42.93</v>
      </c>
      <c r="AE96" s="23">
        <v>46.23</v>
      </c>
      <c r="AF96" s="23">
        <v>50.87</v>
      </c>
      <c r="AG96" s="23">
        <v>60.64</v>
      </c>
      <c r="AH96" s="23">
        <v>68.35</v>
      </c>
      <c r="AI96" s="23">
        <v>73.64</v>
      </c>
      <c r="AJ96" s="5"/>
      <c r="AK96" s="5"/>
      <c r="AL96" s="21">
        <v>94</v>
      </c>
      <c r="AM96" s="22">
        <f t="shared" si="7"/>
        <v>1504</v>
      </c>
      <c r="AN96" s="23">
        <v>34.08</v>
      </c>
      <c r="AO96" s="23">
        <v>34.08</v>
      </c>
      <c r="AP96" s="23">
        <v>35.72</v>
      </c>
      <c r="AQ96" s="23">
        <v>38.46</v>
      </c>
      <c r="AR96" s="23">
        <v>42.32</v>
      </c>
      <c r="AS96" s="23">
        <v>50.46</v>
      </c>
      <c r="AT96" s="23">
        <v>56.87</v>
      </c>
      <c r="AU96" s="23">
        <v>61.28</v>
      </c>
    </row>
    <row r="97" ht="15.6" spans="2:47">
      <c r="B97" s="21">
        <v>95</v>
      </c>
      <c r="C97" s="22">
        <f t="shared" si="4"/>
        <v>1520</v>
      </c>
      <c r="D97" s="23">
        <v>49.84</v>
      </c>
      <c r="E97" s="23">
        <v>49.84</v>
      </c>
      <c r="F97" s="23">
        <v>51.99</v>
      </c>
      <c r="G97" s="23">
        <v>55.85</v>
      </c>
      <c r="H97" s="23">
        <v>61.86</v>
      </c>
      <c r="I97" s="23">
        <v>72.99</v>
      </c>
      <c r="J97" s="23">
        <v>82.31</v>
      </c>
      <c r="K97" s="23">
        <v>89.33</v>
      </c>
      <c r="L97" s="4"/>
      <c r="M97" s="4"/>
      <c r="N97" s="21">
        <v>95</v>
      </c>
      <c r="O97" s="22">
        <f t="shared" si="5"/>
        <v>1520</v>
      </c>
      <c r="P97" s="23">
        <v>45.69</v>
      </c>
      <c r="Q97" s="23">
        <v>45.69</v>
      </c>
      <c r="R97" s="23">
        <v>47.66</v>
      </c>
      <c r="S97" s="23">
        <v>51.2</v>
      </c>
      <c r="T97" s="23">
        <v>56.71</v>
      </c>
      <c r="U97" s="23">
        <v>66.91</v>
      </c>
      <c r="V97" s="23">
        <v>75.45</v>
      </c>
      <c r="W97" s="23">
        <v>81.89</v>
      </c>
      <c r="X97" s="4"/>
      <c r="Y97" s="4"/>
      <c r="Z97" s="21">
        <v>95</v>
      </c>
      <c r="AA97" s="22">
        <f t="shared" si="6"/>
        <v>1520</v>
      </c>
      <c r="AB97" s="23">
        <v>41.53</v>
      </c>
      <c r="AC97" s="23">
        <v>41.53</v>
      </c>
      <c r="AD97" s="23">
        <v>43.32</v>
      </c>
      <c r="AE97" s="23">
        <v>46.54</v>
      </c>
      <c r="AF97" s="23">
        <v>51.55</v>
      </c>
      <c r="AG97" s="23">
        <v>60.82</v>
      </c>
      <c r="AH97" s="23">
        <v>68.59</v>
      </c>
      <c r="AI97" s="23">
        <v>74.44</v>
      </c>
      <c r="AJ97" s="5"/>
      <c r="AK97" s="5"/>
      <c r="AL97" s="21">
        <v>95</v>
      </c>
      <c r="AM97" s="22">
        <f t="shared" si="7"/>
        <v>1520</v>
      </c>
      <c r="AN97" s="23">
        <v>34.55</v>
      </c>
      <c r="AO97" s="23">
        <v>34.55</v>
      </c>
      <c r="AP97" s="23">
        <v>36.04</v>
      </c>
      <c r="AQ97" s="23">
        <v>38.72</v>
      </c>
      <c r="AR97" s="23">
        <v>42.9</v>
      </c>
      <c r="AS97" s="23">
        <v>50.6</v>
      </c>
      <c r="AT97" s="23">
        <v>57.07</v>
      </c>
      <c r="AU97" s="23">
        <v>61.94</v>
      </c>
    </row>
    <row r="98" ht="15.6" spans="2:47">
      <c r="B98" s="21">
        <v>96</v>
      </c>
      <c r="C98" s="22">
        <f t="shared" si="4"/>
        <v>1536</v>
      </c>
      <c r="D98" s="23">
        <v>51.41</v>
      </c>
      <c r="E98" s="23">
        <v>51.41</v>
      </c>
      <c r="F98" s="23">
        <v>52.32</v>
      </c>
      <c r="G98" s="23">
        <v>57.88</v>
      </c>
      <c r="H98" s="23">
        <v>62.56</v>
      </c>
      <c r="I98" s="23">
        <v>72.99</v>
      </c>
      <c r="J98" s="23">
        <v>82.32</v>
      </c>
      <c r="K98" s="23">
        <v>90.21</v>
      </c>
      <c r="L98" s="4"/>
      <c r="M98" s="4"/>
      <c r="N98" s="21">
        <v>96</v>
      </c>
      <c r="O98" s="22">
        <f t="shared" si="5"/>
        <v>1536</v>
      </c>
      <c r="P98" s="23">
        <v>47.13</v>
      </c>
      <c r="Q98" s="23">
        <v>47.13</v>
      </c>
      <c r="R98" s="23">
        <v>47.96</v>
      </c>
      <c r="S98" s="23">
        <v>53.06</v>
      </c>
      <c r="T98" s="23">
        <v>57.35</v>
      </c>
      <c r="U98" s="23">
        <v>66.91</v>
      </c>
      <c r="V98" s="23">
        <v>75.46</v>
      </c>
      <c r="W98" s="23">
        <v>82.69</v>
      </c>
      <c r="X98" s="4"/>
      <c r="Y98" s="4"/>
      <c r="Z98" s="21">
        <v>96</v>
      </c>
      <c r="AA98" s="22">
        <f t="shared" si="6"/>
        <v>1536</v>
      </c>
      <c r="AB98" s="23">
        <v>42.84</v>
      </c>
      <c r="AC98" s="23">
        <v>42.84</v>
      </c>
      <c r="AD98" s="23">
        <v>43.6</v>
      </c>
      <c r="AE98" s="23">
        <v>48.23</v>
      </c>
      <c r="AF98" s="23">
        <v>52.13</v>
      </c>
      <c r="AG98" s="23">
        <v>60.82</v>
      </c>
      <c r="AH98" s="23">
        <v>68.6</v>
      </c>
      <c r="AI98" s="23">
        <v>75.17</v>
      </c>
      <c r="AJ98" s="5"/>
      <c r="AK98" s="5"/>
      <c r="AL98" s="21">
        <v>96</v>
      </c>
      <c r="AM98" s="22">
        <f t="shared" si="7"/>
        <v>1536</v>
      </c>
      <c r="AN98" s="23">
        <v>35.65</v>
      </c>
      <c r="AO98" s="23">
        <v>35.65</v>
      </c>
      <c r="AP98" s="23">
        <v>36.28</v>
      </c>
      <c r="AQ98" s="23">
        <v>40.13</v>
      </c>
      <c r="AR98" s="23">
        <v>43.37</v>
      </c>
      <c r="AS98" s="23">
        <v>50.61</v>
      </c>
      <c r="AT98" s="23">
        <v>57.08</v>
      </c>
      <c r="AU98" s="23">
        <v>62.55</v>
      </c>
    </row>
    <row r="99" ht="15.6" spans="2:47">
      <c r="B99" s="21">
        <v>97</v>
      </c>
      <c r="C99" s="22">
        <f t="shared" si="4"/>
        <v>1552</v>
      </c>
      <c r="D99" s="23">
        <v>53.12</v>
      </c>
      <c r="E99" s="23">
        <v>53.12</v>
      </c>
      <c r="F99" s="23">
        <v>54.38</v>
      </c>
      <c r="G99" s="23">
        <v>58.74</v>
      </c>
      <c r="H99" s="23">
        <v>63.5</v>
      </c>
      <c r="I99" s="23">
        <v>74.5</v>
      </c>
      <c r="J99" s="23">
        <v>83.5</v>
      </c>
      <c r="K99" s="23">
        <v>92.01</v>
      </c>
      <c r="L99" s="4"/>
      <c r="M99" s="4"/>
      <c r="N99" s="21">
        <v>97</v>
      </c>
      <c r="O99" s="22">
        <f t="shared" si="5"/>
        <v>1552</v>
      </c>
      <c r="P99" s="23">
        <v>48.69</v>
      </c>
      <c r="Q99" s="23">
        <v>48.69</v>
      </c>
      <c r="R99" s="23">
        <v>49.85</v>
      </c>
      <c r="S99" s="23">
        <v>53.85</v>
      </c>
      <c r="T99" s="23">
        <v>58.21</v>
      </c>
      <c r="U99" s="23">
        <v>68.29</v>
      </c>
      <c r="V99" s="23">
        <v>76.54</v>
      </c>
      <c r="W99" s="23">
        <v>84.34</v>
      </c>
      <c r="X99" s="4"/>
      <c r="Y99" s="4"/>
      <c r="Z99" s="21">
        <v>97</v>
      </c>
      <c r="AA99" s="22">
        <f t="shared" si="6"/>
        <v>1552</v>
      </c>
      <c r="AB99" s="23">
        <v>44.26</v>
      </c>
      <c r="AC99" s="23">
        <v>44.26</v>
      </c>
      <c r="AD99" s="23">
        <v>45.31</v>
      </c>
      <c r="AE99" s="23">
        <v>48.95</v>
      </c>
      <c r="AF99" s="23">
        <v>52.91</v>
      </c>
      <c r="AG99" s="23">
        <v>62.08</v>
      </c>
      <c r="AH99" s="23">
        <v>69.58</v>
      </c>
      <c r="AI99" s="23">
        <v>76.67</v>
      </c>
      <c r="AJ99" s="5"/>
      <c r="AK99" s="5"/>
      <c r="AL99" s="21">
        <v>97</v>
      </c>
      <c r="AM99" s="22">
        <f t="shared" si="7"/>
        <v>1552</v>
      </c>
      <c r="AN99" s="23">
        <v>36.83</v>
      </c>
      <c r="AO99" s="23">
        <v>36.83</v>
      </c>
      <c r="AP99" s="23">
        <v>37.7</v>
      </c>
      <c r="AQ99" s="23">
        <v>40.72</v>
      </c>
      <c r="AR99" s="23">
        <v>44.02</v>
      </c>
      <c r="AS99" s="23">
        <v>51.66</v>
      </c>
      <c r="AT99" s="23">
        <v>57.89</v>
      </c>
      <c r="AU99" s="23">
        <v>63.79</v>
      </c>
    </row>
    <row r="100" ht="15.6" spans="2:47">
      <c r="B100" s="21">
        <v>98</v>
      </c>
      <c r="C100" s="22">
        <f t="shared" si="4"/>
        <v>1568</v>
      </c>
      <c r="D100" s="23">
        <v>53.82</v>
      </c>
      <c r="E100" s="23">
        <v>53.82</v>
      </c>
      <c r="F100" s="23">
        <v>54.72</v>
      </c>
      <c r="G100" s="23">
        <v>58.74</v>
      </c>
      <c r="H100" s="23">
        <v>64.25</v>
      </c>
      <c r="I100" s="23">
        <v>75.34</v>
      </c>
      <c r="J100" s="23">
        <v>83.5</v>
      </c>
      <c r="K100" s="23">
        <v>92.01</v>
      </c>
      <c r="L100" s="4"/>
      <c r="M100" s="4"/>
      <c r="N100" s="21">
        <v>98</v>
      </c>
      <c r="O100" s="22">
        <f t="shared" si="5"/>
        <v>1568</v>
      </c>
      <c r="P100" s="23">
        <v>49.34</v>
      </c>
      <c r="Q100" s="23">
        <v>49.34</v>
      </c>
      <c r="R100" s="23">
        <v>50.16</v>
      </c>
      <c r="S100" s="23">
        <v>53.85</v>
      </c>
      <c r="T100" s="23">
        <v>58.9</v>
      </c>
      <c r="U100" s="23">
        <v>69.06</v>
      </c>
      <c r="V100" s="23">
        <v>76.54</v>
      </c>
      <c r="W100" s="23">
        <v>84.34</v>
      </c>
      <c r="X100" s="4"/>
      <c r="Y100" s="4"/>
      <c r="Z100" s="21">
        <v>98</v>
      </c>
      <c r="AA100" s="22">
        <f t="shared" si="6"/>
        <v>1568</v>
      </c>
      <c r="AB100" s="23">
        <v>44.85</v>
      </c>
      <c r="AC100" s="23">
        <v>44.85</v>
      </c>
      <c r="AD100" s="23">
        <v>45.6</v>
      </c>
      <c r="AE100" s="23">
        <v>48.95</v>
      </c>
      <c r="AF100" s="23">
        <v>53.54</v>
      </c>
      <c r="AG100" s="23">
        <v>62.78</v>
      </c>
      <c r="AH100" s="23">
        <v>69.58</v>
      </c>
      <c r="AI100" s="23">
        <v>76.67</v>
      </c>
      <c r="AJ100" s="5"/>
      <c r="AK100" s="5"/>
      <c r="AL100" s="21">
        <v>98</v>
      </c>
      <c r="AM100" s="22">
        <f t="shared" si="7"/>
        <v>1568</v>
      </c>
      <c r="AN100" s="23">
        <v>37.31</v>
      </c>
      <c r="AO100" s="23">
        <v>37.31</v>
      </c>
      <c r="AP100" s="23">
        <v>37.94</v>
      </c>
      <c r="AQ100" s="23">
        <v>40.72</v>
      </c>
      <c r="AR100" s="23">
        <v>44.54</v>
      </c>
      <c r="AS100" s="23">
        <v>52.24</v>
      </c>
      <c r="AT100" s="23">
        <v>57.9</v>
      </c>
      <c r="AU100" s="23">
        <v>63.79</v>
      </c>
    </row>
    <row r="101" ht="15.6" spans="2:47">
      <c r="B101" s="21">
        <v>99</v>
      </c>
      <c r="C101" s="22">
        <f t="shared" si="4"/>
        <v>1584</v>
      </c>
      <c r="D101" s="23">
        <v>55</v>
      </c>
      <c r="E101" s="23">
        <v>55</v>
      </c>
      <c r="F101" s="23">
        <v>55.06</v>
      </c>
      <c r="G101" s="23">
        <v>60.39</v>
      </c>
      <c r="H101" s="23">
        <v>65.06</v>
      </c>
      <c r="I101" s="23">
        <v>75.52</v>
      </c>
      <c r="J101" s="23">
        <v>84.34</v>
      </c>
      <c r="K101" s="23">
        <v>92.93</v>
      </c>
      <c r="L101" s="4"/>
      <c r="M101" s="4"/>
      <c r="N101" s="21">
        <v>99</v>
      </c>
      <c r="O101" s="22">
        <f t="shared" si="5"/>
        <v>1584</v>
      </c>
      <c r="P101" s="23">
        <v>50.42</v>
      </c>
      <c r="Q101" s="23">
        <v>50.42</v>
      </c>
      <c r="R101" s="23">
        <v>50.47</v>
      </c>
      <c r="S101" s="23">
        <v>55.36</v>
      </c>
      <c r="T101" s="23">
        <v>59.64</v>
      </c>
      <c r="U101" s="23">
        <v>69.23</v>
      </c>
      <c r="V101" s="23">
        <v>77.31</v>
      </c>
      <c r="W101" s="23">
        <v>85.19</v>
      </c>
      <c r="X101" s="4"/>
      <c r="Y101" s="4"/>
      <c r="Z101" s="21">
        <v>99</v>
      </c>
      <c r="AA101" s="22">
        <f t="shared" si="6"/>
        <v>1584</v>
      </c>
      <c r="AB101" s="23">
        <v>45.83</v>
      </c>
      <c r="AC101" s="23">
        <v>45.83</v>
      </c>
      <c r="AD101" s="23">
        <v>45.88</v>
      </c>
      <c r="AE101" s="23">
        <v>50.32</v>
      </c>
      <c r="AF101" s="23">
        <v>54.21</v>
      </c>
      <c r="AG101" s="23">
        <v>62.93</v>
      </c>
      <c r="AH101" s="23">
        <v>70.28</v>
      </c>
      <c r="AI101" s="23">
        <v>77.44</v>
      </c>
      <c r="AJ101" s="5"/>
      <c r="AK101" s="5"/>
      <c r="AL101" s="21">
        <v>99</v>
      </c>
      <c r="AM101" s="22">
        <f t="shared" si="7"/>
        <v>1584</v>
      </c>
      <c r="AN101" s="23">
        <v>38.13</v>
      </c>
      <c r="AO101" s="23">
        <v>38.13</v>
      </c>
      <c r="AP101" s="23">
        <v>38.17</v>
      </c>
      <c r="AQ101" s="23">
        <v>41.87</v>
      </c>
      <c r="AR101" s="23">
        <v>45.1</v>
      </c>
      <c r="AS101" s="23">
        <v>52.36</v>
      </c>
      <c r="AT101" s="23">
        <v>58.49</v>
      </c>
      <c r="AU101" s="23">
        <v>64.44</v>
      </c>
    </row>
    <row r="102" ht="15.6" spans="2:47">
      <c r="B102" s="21">
        <v>100</v>
      </c>
      <c r="C102" s="22">
        <f t="shared" si="4"/>
        <v>1600</v>
      </c>
      <c r="D102" s="23">
        <v>55.42</v>
      </c>
      <c r="E102" s="23">
        <v>55.42</v>
      </c>
      <c r="F102" s="23">
        <v>55.97</v>
      </c>
      <c r="G102" s="23">
        <v>60.4</v>
      </c>
      <c r="H102" s="23">
        <v>65.46</v>
      </c>
      <c r="I102" s="23">
        <v>76.4</v>
      </c>
      <c r="J102" s="23">
        <v>84.41</v>
      </c>
      <c r="K102" s="23">
        <v>92.98</v>
      </c>
      <c r="L102" s="4"/>
      <c r="M102" s="4"/>
      <c r="N102" s="21">
        <v>100</v>
      </c>
      <c r="O102" s="22">
        <f t="shared" si="5"/>
        <v>1600</v>
      </c>
      <c r="P102" s="23">
        <v>50.8</v>
      </c>
      <c r="Q102" s="23">
        <v>50.8</v>
      </c>
      <c r="R102" s="23">
        <v>51.31</v>
      </c>
      <c r="S102" s="23">
        <v>55.37</v>
      </c>
      <c r="T102" s="23">
        <v>60.01</v>
      </c>
      <c r="U102" s="23">
        <v>70.03</v>
      </c>
      <c r="V102" s="23">
        <v>77.38</v>
      </c>
      <c r="W102" s="23">
        <v>85.23</v>
      </c>
      <c r="X102" s="4"/>
      <c r="Y102" s="4"/>
      <c r="Z102" s="21">
        <v>100</v>
      </c>
      <c r="AA102" s="22">
        <f t="shared" si="6"/>
        <v>1600</v>
      </c>
      <c r="AB102" s="23">
        <v>46.18</v>
      </c>
      <c r="AC102" s="23">
        <v>46.18</v>
      </c>
      <c r="AD102" s="23">
        <v>46.64</v>
      </c>
      <c r="AE102" s="23">
        <v>50.33</v>
      </c>
      <c r="AF102" s="23">
        <v>54.55</v>
      </c>
      <c r="AG102" s="23">
        <v>63.66</v>
      </c>
      <c r="AH102" s="23">
        <v>70.34</v>
      </c>
      <c r="AI102" s="23">
        <v>77.48</v>
      </c>
      <c r="AJ102" s="5"/>
      <c r="AK102" s="5"/>
      <c r="AL102" s="21">
        <v>100</v>
      </c>
      <c r="AM102" s="22">
        <f t="shared" si="7"/>
        <v>1600</v>
      </c>
      <c r="AN102" s="23">
        <v>38.42</v>
      </c>
      <c r="AO102" s="23">
        <v>38.42</v>
      </c>
      <c r="AP102" s="23">
        <v>38.81</v>
      </c>
      <c r="AQ102" s="23">
        <v>41.88</v>
      </c>
      <c r="AR102" s="23">
        <v>45.38</v>
      </c>
      <c r="AS102" s="23">
        <v>52.98</v>
      </c>
      <c r="AT102" s="23">
        <v>58.52</v>
      </c>
      <c r="AU102" s="23">
        <v>64.47</v>
      </c>
    </row>
    <row r="103" ht="15.6" spans="2:47">
      <c r="B103" s="21">
        <v>101</v>
      </c>
      <c r="C103" s="22">
        <f t="shared" si="4"/>
        <v>1616</v>
      </c>
      <c r="D103" s="23">
        <v>56.39</v>
      </c>
      <c r="E103" s="23">
        <v>56.39</v>
      </c>
      <c r="F103" s="23">
        <v>56.52</v>
      </c>
      <c r="G103" s="23">
        <v>60.98</v>
      </c>
      <c r="H103" s="23">
        <v>66.09</v>
      </c>
      <c r="I103" s="23">
        <v>77.12</v>
      </c>
      <c r="J103" s="23">
        <v>85.22</v>
      </c>
      <c r="K103" s="23">
        <v>93.9</v>
      </c>
      <c r="L103" s="4"/>
      <c r="M103" s="4"/>
      <c r="N103" s="21">
        <v>101</v>
      </c>
      <c r="O103" s="22">
        <f t="shared" si="5"/>
        <v>1616</v>
      </c>
      <c r="P103" s="23">
        <v>51.69</v>
      </c>
      <c r="Q103" s="23">
        <v>51.69</v>
      </c>
      <c r="R103" s="23">
        <v>51.81</v>
      </c>
      <c r="S103" s="23">
        <v>55.9</v>
      </c>
      <c r="T103" s="23">
        <v>60.58</v>
      </c>
      <c r="U103" s="23">
        <v>70.69</v>
      </c>
      <c r="V103" s="23">
        <v>78.12</v>
      </c>
      <c r="W103" s="23">
        <v>86.08</v>
      </c>
      <c r="X103" s="4"/>
      <c r="Y103" s="4"/>
      <c r="Z103" s="21">
        <v>101</v>
      </c>
      <c r="AA103" s="22">
        <f t="shared" si="6"/>
        <v>1616</v>
      </c>
      <c r="AB103" s="23">
        <v>46.99</v>
      </c>
      <c r="AC103" s="23">
        <v>46.99</v>
      </c>
      <c r="AD103" s="23">
        <v>47.1</v>
      </c>
      <c r="AE103" s="23">
        <v>50.81</v>
      </c>
      <c r="AF103" s="23">
        <v>55.07</v>
      </c>
      <c r="AG103" s="23">
        <v>64.26</v>
      </c>
      <c r="AH103" s="23">
        <v>71.01</v>
      </c>
      <c r="AI103" s="23">
        <v>78.25</v>
      </c>
      <c r="AJ103" s="5"/>
      <c r="AK103" s="5"/>
      <c r="AL103" s="21">
        <v>101</v>
      </c>
      <c r="AM103" s="22">
        <f t="shared" si="7"/>
        <v>1616</v>
      </c>
      <c r="AN103" s="23">
        <v>39.09</v>
      </c>
      <c r="AO103" s="23">
        <v>39.09</v>
      </c>
      <c r="AP103" s="23">
        <v>39.18</v>
      </c>
      <c r="AQ103" s="23">
        <v>42.28</v>
      </c>
      <c r="AR103" s="23">
        <v>45.82</v>
      </c>
      <c r="AS103" s="23">
        <v>53.47</v>
      </c>
      <c r="AT103" s="23">
        <v>59.08</v>
      </c>
      <c r="AU103" s="23">
        <v>65.1</v>
      </c>
    </row>
    <row r="104" ht="15.6" spans="2:47">
      <c r="B104" s="21">
        <v>102</v>
      </c>
      <c r="C104" s="22">
        <f t="shared" si="4"/>
        <v>1632</v>
      </c>
      <c r="D104" s="23">
        <v>56.4</v>
      </c>
      <c r="E104" s="23">
        <v>56.4</v>
      </c>
      <c r="F104" s="23">
        <v>56.52</v>
      </c>
      <c r="G104" s="23">
        <v>60.99</v>
      </c>
      <c r="H104" s="23">
        <v>66.1</v>
      </c>
      <c r="I104" s="23">
        <v>77.14</v>
      </c>
      <c r="J104" s="23">
        <v>85.22</v>
      </c>
      <c r="K104" s="23">
        <v>93.94</v>
      </c>
      <c r="L104" s="4"/>
      <c r="M104" s="4"/>
      <c r="N104" s="21">
        <v>102</v>
      </c>
      <c r="O104" s="22">
        <f t="shared" si="5"/>
        <v>1632</v>
      </c>
      <c r="P104" s="23">
        <v>51.7</v>
      </c>
      <c r="Q104" s="23">
        <v>51.7</v>
      </c>
      <c r="R104" s="23">
        <v>51.81</v>
      </c>
      <c r="S104" s="23">
        <v>55.91</v>
      </c>
      <c r="T104" s="23">
        <v>60.59</v>
      </c>
      <c r="U104" s="23">
        <v>70.71</v>
      </c>
      <c r="V104" s="23">
        <v>78.12</v>
      </c>
      <c r="W104" s="23">
        <v>86.11</v>
      </c>
      <c r="X104" s="4"/>
      <c r="Y104" s="4"/>
      <c r="Z104" s="21">
        <v>102</v>
      </c>
      <c r="AA104" s="22">
        <f t="shared" si="6"/>
        <v>1632</v>
      </c>
      <c r="AB104" s="23">
        <v>47</v>
      </c>
      <c r="AC104" s="23">
        <v>47</v>
      </c>
      <c r="AD104" s="23">
        <v>47.1</v>
      </c>
      <c r="AE104" s="23">
        <v>50.82</v>
      </c>
      <c r="AF104" s="23">
        <v>55.08</v>
      </c>
      <c r="AG104" s="23">
        <v>64.28</v>
      </c>
      <c r="AH104" s="23">
        <v>71.01</v>
      </c>
      <c r="AI104" s="23">
        <v>78.28</v>
      </c>
      <c r="AJ104" s="5"/>
      <c r="AK104" s="5"/>
      <c r="AL104" s="21">
        <v>102</v>
      </c>
      <c r="AM104" s="22">
        <f t="shared" si="7"/>
        <v>1632</v>
      </c>
      <c r="AN104" s="23">
        <v>39.11</v>
      </c>
      <c r="AO104" s="23">
        <v>39.11</v>
      </c>
      <c r="AP104" s="23">
        <v>39.19</v>
      </c>
      <c r="AQ104" s="23">
        <v>42.28</v>
      </c>
      <c r="AR104" s="23">
        <v>45.83</v>
      </c>
      <c r="AS104" s="23">
        <v>53.48</v>
      </c>
      <c r="AT104" s="23">
        <v>59.08</v>
      </c>
      <c r="AU104" s="23">
        <v>65.13</v>
      </c>
    </row>
    <row r="105" ht="15.6" spans="2:47">
      <c r="B105" s="21">
        <v>103</v>
      </c>
      <c r="C105" s="22">
        <f t="shared" si="4"/>
        <v>1648</v>
      </c>
      <c r="D105" s="23">
        <v>57.15</v>
      </c>
      <c r="E105" s="23">
        <v>57.15</v>
      </c>
      <c r="F105" s="23">
        <v>57.92</v>
      </c>
      <c r="G105" s="23">
        <v>62.25</v>
      </c>
      <c r="H105" s="23">
        <v>66.47</v>
      </c>
      <c r="I105" s="23">
        <v>77.34</v>
      </c>
      <c r="J105" s="23">
        <v>85.3</v>
      </c>
      <c r="K105" s="23">
        <v>93.95</v>
      </c>
      <c r="L105" s="4"/>
      <c r="M105" s="4"/>
      <c r="N105" s="21">
        <v>103</v>
      </c>
      <c r="O105" s="22">
        <f t="shared" si="5"/>
        <v>1648</v>
      </c>
      <c r="P105" s="23">
        <v>52.39</v>
      </c>
      <c r="Q105" s="23">
        <v>52.39</v>
      </c>
      <c r="R105" s="23">
        <v>53.09</v>
      </c>
      <c r="S105" s="23">
        <v>57.06</v>
      </c>
      <c r="T105" s="23">
        <v>60.93</v>
      </c>
      <c r="U105" s="23">
        <v>70.9</v>
      </c>
      <c r="V105" s="23">
        <v>78.19</v>
      </c>
      <c r="W105" s="23">
        <v>86.12</v>
      </c>
      <c r="X105" s="4"/>
      <c r="Y105" s="4"/>
      <c r="Z105" s="21">
        <v>103</v>
      </c>
      <c r="AA105" s="22">
        <f t="shared" si="6"/>
        <v>1648</v>
      </c>
      <c r="AB105" s="23">
        <v>47.62</v>
      </c>
      <c r="AC105" s="23">
        <v>47.62</v>
      </c>
      <c r="AD105" s="23">
        <v>48.26</v>
      </c>
      <c r="AE105" s="23">
        <v>51.87</v>
      </c>
      <c r="AF105" s="23">
        <v>55.39</v>
      </c>
      <c r="AG105" s="23">
        <v>64.45</v>
      </c>
      <c r="AH105" s="23">
        <v>71.08</v>
      </c>
      <c r="AI105" s="23">
        <v>78.29</v>
      </c>
      <c r="AJ105" s="5"/>
      <c r="AK105" s="5"/>
      <c r="AL105" s="21">
        <v>103</v>
      </c>
      <c r="AM105" s="22">
        <f t="shared" si="7"/>
        <v>1648</v>
      </c>
      <c r="AN105" s="23">
        <v>39.61</v>
      </c>
      <c r="AO105" s="23">
        <v>39.61</v>
      </c>
      <c r="AP105" s="23">
        <v>40.16</v>
      </c>
      <c r="AQ105" s="23">
        <v>43.15</v>
      </c>
      <c r="AR105" s="23">
        <v>46.09</v>
      </c>
      <c r="AS105" s="23">
        <v>53.63</v>
      </c>
      <c r="AT105" s="23">
        <v>59.14</v>
      </c>
      <c r="AU105" s="23">
        <v>65.14</v>
      </c>
    </row>
    <row r="106" ht="15.6" spans="2:47">
      <c r="B106" s="21">
        <v>104</v>
      </c>
      <c r="C106" s="22">
        <f t="shared" si="4"/>
        <v>1664</v>
      </c>
      <c r="D106" s="23">
        <v>57.15</v>
      </c>
      <c r="E106" s="23">
        <v>57.15</v>
      </c>
      <c r="F106" s="23">
        <v>57.94</v>
      </c>
      <c r="G106" s="23">
        <v>62.4</v>
      </c>
      <c r="H106" s="23">
        <v>66.56</v>
      </c>
      <c r="I106" s="23">
        <v>77.36</v>
      </c>
      <c r="J106" s="23">
        <v>85.3</v>
      </c>
      <c r="K106" s="23">
        <v>93.95</v>
      </c>
      <c r="L106" s="4"/>
      <c r="M106" s="4"/>
      <c r="N106" s="21">
        <v>104</v>
      </c>
      <c r="O106" s="22">
        <f t="shared" si="5"/>
        <v>1664</v>
      </c>
      <c r="P106" s="23">
        <v>52.39</v>
      </c>
      <c r="Q106" s="23">
        <v>52.39</v>
      </c>
      <c r="R106" s="23">
        <v>53.11</v>
      </c>
      <c r="S106" s="23">
        <v>57.2</v>
      </c>
      <c r="T106" s="23">
        <v>61.01</v>
      </c>
      <c r="U106" s="23">
        <v>70.91</v>
      </c>
      <c r="V106" s="23">
        <v>78.19</v>
      </c>
      <c r="W106" s="23">
        <v>86.12</v>
      </c>
      <c r="X106" s="4"/>
      <c r="Y106" s="4"/>
      <c r="Z106" s="21">
        <v>104</v>
      </c>
      <c r="AA106" s="22">
        <f t="shared" si="6"/>
        <v>1664</v>
      </c>
      <c r="AB106" s="23">
        <v>47.62</v>
      </c>
      <c r="AC106" s="23">
        <v>47.62</v>
      </c>
      <c r="AD106" s="23">
        <v>48.28</v>
      </c>
      <c r="AE106" s="23">
        <v>52</v>
      </c>
      <c r="AF106" s="23">
        <v>55.46</v>
      </c>
      <c r="AG106" s="23">
        <v>64.46</v>
      </c>
      <c r="AH106" s="23">
        <v>71.08</v>
      </c>
      <c r="AI106" s="23">
        <v>78.29</v>
      </c>
      <c r="AJ106" s="5"/>
      <c r="AK106" s="5"/>
      <c r="AL106" s="21">
        <v>104</v>
      </c>
      <c r="AM106" s="22">
        <f t="shared" si="7"/>
        <v>1664</v>
      </c>
      <c r="AN106" s="23">
        <v>39.62</v>
      </c>
      <c r="AO106" s="23">
        <v>39.62</v>
      </c>
      <c r="AP106" s="23">
        <v>40.16</v>
      </c>
      <c r="AQ106" s="23">
        <v>43.26</v>
      </c>
      <c r="AR106" s="23">
        <v>46.15</v>
      </c>
      <c r="AS106" s="23">
        <v>53.63</v>
      </c>
      <c r="AT106" s="23">
        <v>59.15</v>
      </c>
      <c r="AU106" s="23">
        <v>65.14</v>
      </c>
    </row>
    <row r="107" ht="15.6" spans="2:47">
      <c r="B107" s="21">
        <v>105</v>
      </c>
      <c r="C107" s="22">
        <f t="shared" si="4"/>
        <v>1680</v>
      </c>
      <c r="D107" s="23">
        <v>59.18</v>
      </c>
      <c r="E107" s="23">
        <v>59.18</v>
      </c>
      <c r="F107" s="23">
        <v>59.64</v>
      </c>
      <c r="G107" s="23">
        <v>63.71</v>
      </c>
      <c r="H107" s="23">
        <v>68.57</v>
      </c>
      <c r="I107" s="23">
        <v>79.25</v>
      </c>
      <c r="J107" s="23">
        <v>87.28</v>
      </c>
      <c r="K107" s="23">
        <v>96.26</v>
      </c>
      <c r="L107" s="4"/>
      <c r="M107" s="4"/>
      <c r="N107" s="21">
        <v>105</v>
      </c>
      <c r="O107" s="22">
        <f t="shared" si="5"/>
        <v>1680</v>
      </c>
      <c r="P107" s="23">
        <v>54.25</v>
      </c>
      <c r="Q107" s="23">
        <v>54.25</v>
      </c>
      <c r="R107" s="23">
        <v>54.67</v>
      </c>
      <c r="S107" s="23">
        <v>58.4</v>
      </c>
      <c r="T107" s="23">
        <v>62.86</v>
      </c>
      <c r="U107" s="23">
        <v>72.65</v>
      </c>
      <c r="V107" s="23">
        <v>80.01</v>
      </c>
      <c r="W107" s="23">
        <v>88.24</v>
      </c>
      <c r="X107" s="4"/>
      <c r="Y107" s="4"/>
      <c r="Z107" s="21">
        <v>105</v>
      </c>
      <c r="AA107" s="22">
        <f t="shared" si="6"/>
        <v>1680</v>
      </c>
      <c r="AB107" s="23">
        <v>49.31</v>
      </c>
      <c r="AC107" s="23">
        <v>49.31</v>
      </c>
      <c r="AD107" s="23">
        <v>49.7</v>
      </c>
      <c r="AE107" s="23">
        <v>53.09</v>
      </c>
      <c r="AF107" s="23">
        <v>57.14</v>
      </c>
      <c r="AG107" s="23">
        <v>66.04</v>
      </c>
      <c r="AH107" s="23">
        <v>72.73</v>
      </c>
      <c r="AI107" s="23">
        <v>80.21</v>
      </c>
      <c r="AJ107" s="5"/>
      <c r="AK107" s="5"/>
      <c r="AL107" s="21">
        <v>105</v>
      </c>
      <c r="AM107" s="22">
        <f t="shared" si="7"/>
        <v>1680</v>
      </c>
      <c r="AN107" s="23">
        <v>41.03</v>
      </c>
      <c r="AO107" s="23">
        <v>41.03</v>
      </c>
      <c r="AP107" s="23">
        <v>41.35</v>
      </c>
      <c r="AQ107" s="23">
        <v>44.18</v>
      </c>
      <c r="AR107" s="23">
        <v>47.54</v>
      </c>
      <c r="AS107" s="23">
        <v>54.95</v>
      </c>
      <c r="AT107" s="23">
        <v>60.52</v>
      </c>
      <c r="AU107" s="23">
        <v>66.74</v>
      </c>
    </row>
    <row r="108" ht="15.6" spans="2:47">
      <c r="B108" s="21">
        <v>106</v>
      </c>
      <c r="C108" s="22">
        <f t="shared" si="4"/>
        <v>1696</v>
      </c>
      <c r="D108" s="23">
        <v>59.6</v>
      </c>
      <c r="E108" s="23">
        <v>59.6</v>
      </c>
      <c r="F108" s="23">
        <v>59.97</v>
      </c>
      <c r="G108" s="23">
        <v>63.83</v>
      </c>
      <c r="H108" s="23">
        <v>68.58</v>
      </c>
      <c r="I108" s="23">
        <v>79.25</v>
      </c>
      <c r="J108" s="23">
        <v>87.3</v>
      </c>
      <c r="K108" s="23">
        <v>96.27</v>
      </c>
      <c r="L108" s="4"/>
      <c r="M108" s="4"/>
      <c r="N108" s="21">
        <v>106</v>
      </c>
      <c r="O108" s="22">
        <f t="shared" si="5"/>
        <v>1696</v>
      </c>
      <c r="P108" s="23">
        <v>54.63</v>
      </c>
      <c r="Q108" s="23">
        <v>54.63</v>
      </c>
      <c r="R108" s="23">
        <v>54.97</v>
      </c>
      <c r="S108" s="23">
        <v>58.51</v>
      </c>
      <c r="T108" s="23">
        <v>62.87</v>
      </c>
      <c r="U108" s="23">
        <v>72.65</v>
      </c>
      <c r="V108" s="23">
        <v>80.03</v>
      </c>
      <c r="W108" s="23">
        <v>88.25</v>
      </c>
      <c r="X108" s="4"/>
      <c r="Y108" s="4"/>
      <c r="Z108" s="21">
        <v>106</v>
      </c>
      <c r="AA108" s="22">
        <f t="shared" si="6"/>
        <v>1696</v>
      </c>
      <c r="AB108" s="23">
        <v>49.66</v>
      </c>
      <c r="AC108" s="23">
        <v>49.66</v>
      </c>
      <c r="AD108" s="23">
        <v>49.97</v>
      </c>
      <c r="AE108" s="23">
        <v>53.19</v>
      </c>
      <c r="AF108" s="23">
        <v>57.15</v>
      </c>
      <c r="AG108" s="23">
        <v>66.04</v>
      </c>
      <c r="AH108" s="23">
        <v>72.75</v>
      </c>
      <c r="AI108" s="23">
        <v>80.22</v>
      </c>
      <c r="AJ108" s="5"/>
      <c r="AK108" s="5"/>
      <c r="AL108" s="21">
        <v>106</v>
      </c>
      <c r="AM108" s="22">
        <f t="shared" si="7"/>
        <v>1696</v>
      </c>
      <c r="AN108" s="23">
        <v>41.32</v>
      </c>
      <c r="AO108" s="23">
        <v>41.32</v>
      </c>
      <c r="AP108" s="23">
        <v>41.58</v>
      </c>
      <c r="AQ108" s="23">
        <v>44.25</v>
      </c>
      <c r="AR108" s="23">
        <v>47.54</v>
      </c>
      <c r="AS108" s="23">
        <v>54.96</v>
      </c>
      <c r="AT108" s="23">
        <v>60.52</v>
      </c>
      <c r="AU108" s="23">
        <v>66.75</v>
      </c>
    </row>
    <row r="109" ht="15.6" spans="2:47">
      <c r="B109" s="21">
        <v>107</v>
      </c>
      <c r="C109" s="22">
        <f t="shared" si="4"/>
        <v>1712</v>
      </c>
      <c r="D109" s="23">
        <v>60.47</v>
      </c>
      <c r="E109" s="23">
        <v>60.47</v>
      </c>
      <c r="F109" s="23">
        <v>60.48</v>
      </c>
      <c r="G109" s="23">
        <v>65.19</v>
      </c>
      <c r="H109" s="23">
        <v>69.33</v>
      </c>
      <c r="I109" s="23">
        <v>79.28</v>
      </c>
      <c r="J109" s="23">
        <v>87.94</v>
      </c>
      <c r="K109" s="23">
        <v>97.02</v>
      </c>
      <c r="L109" s="4"/>
      <c r="M109" s="4"/>
      <c r="N109" s="21">
        <v>107</v>
      </c>
      <c r="O109" s="22">
        <f t="shared" si="5"/>
        <v>1712</v>
      </c>
      <c r="P109" s="23">
        <v>55.43</v>
      </c>
      <c r="Q109" s="23">
        <v>55.43</v>
      </c>
      <c r="R109" s="23">
        <v>55.44</v>
      </c>
      <c r="S109" s="23">
        <v>59.76</v>
      </c>
      <c r="T109" s="23">
        <v>63.55</v>
      </c>
      <c r="U109" s="23">
        <v>72.67</v>
      </c>
      <c r="V109" s="23">
        <v>80.61</v>
      </c>
      <c r="W109" s="23">
        <v>88.94</v>
      </c>
      <c r="X109" s="4"/>
      <c r="Y109" s="4"/>
      <c r="Z109" s="21">
        <v>107</v>
      </c>
      <c r="AA109" s="22">
        <f t="shared" si="6"/>
        <v>1712</v>
      </c>
      <c r="AB109" s="23">
        <v>50.39</v>
      </c>
      <c r="AC109" s="23">
        <v>50.39</v>
      </c>
      <c r="AD109" s="23">
        <v>50.4</v>
      </c>
      <c r="AE109" s="23">
        <v>54.32</v>
      </c>
      <c r="AF109" s="23">
        <v>57.77</v>
      </c>
      <c r="AG109" s="23">
        <v>66.06</v>
      </c>
      <c r="AH109" s="23">
        <v>73.28</v>
      </c>
      <c r="AI109" s="23">
        <v>80.85</v>
      </c>
      <c r="AJ109" s="5"/>
      <c r="AK109" s="5"/>
      <c r="AL109" s="21">
        <v>107</v>
      </c>
      <c r="AM109" s="22">
        <f t="shared" si="7"/>
        <v>1712</v>
      </c>
      <c r="AN109" s="23">
        <v>41.93</v>
      </c>
      <c r="AO109" s="23">
        <v>41.93</v>
      </c>
      <c r="AP109" s="23">
        <v>41.93</v>
      </c>
      <c r="AQ109" s="23">
        <v>45.2</v>
      </c>
      <c r="AR109" s="23">
        <v>48.06</v>
      </c>
      <c r="AS109" s="23">
        <v>54.96</v>
      </c>
      <c r="AT109" s="23">
        <v>60.97</v>
      </c>
      <c r="AU109" s="23">
        <v>67.28</v>
      </c>
    </row>
    <row r="110" ht="15.6" spans="2:47">
      <c r="B110" s="21">
        <v>108</v>
      </c>
      <c r="C110" s="22">
        <f t="shared" si="4"/>
        <v>1728</v>
      </c>
      <c r="D110" s="23">
        <v>60.76</v>
      </c>
      <c r="E110" s="23">
        <v>60.76</v>
      </c>
      <c r="F110" s="23">
        <v>61.14</v>
      </c>
      <c r="G110" s="23">
        <v>65.21</v>
      </c>
      <c r="H110" s="23">
        <v>69.33</v>
      </c>
      <c r="I110" s="23">
        <v>79.97</v>
      </c>
      <c r="J110" s="23">
        <v>87.95</v>
      </c>
      <c r="K110" s="23">
        <v>97.05</v>
      </c>
      <c r="L110" s="4"/>
      <c r="M110" s="4"/>
      <c r="N110" s="21">
        <v>108</v>
      </c>
      <c r="O110" s="22">
        <f t="shared" si="5"/>
        <v>1728</v>
      </c>
      <c r="P110" s="23">
        <v>55.7</v>
      </c>
      <c r="Q110" s="23">
        <v>55.7</v>
      </c>
      <c r="R110" s="23">
        <v>56.05</v>
      </c>
      <c r="S110" s="23">
        <v>59.78</v>
      </c>
      <c r="T110" s="23">
        <v>63.55</v>
      </c>
      <c r="U110" s="23">
        <v>73.31</v>
      </c>
      <c r="V110" s="23">
        <v>80.62</v>
      </c>
      <c r="W110" s="23">
        <v>88.96</v>
      </c>
      <c r="X110" s="4"/>
      <c r="Y110" s="4"/>
      <c r="Z110" s="21">
        <v>108</v>
      </c>
      <c r="AA110" s="22">
        <f t="shared" si="6"/>
        <v>1728</v>
      </c>
      <c r="AB110" s="23">
        <v>50.63</v>
      </c>
      <c r="AC110" s="23">
        <v>50.63</v>
      </c>
      <c r="AD110" s="23">
        <v>50.95</v>
      </c>
      <c r="AE110" s="23">
        <v>54.34</v>
      </c>
      <c r="AF110" s="23">
        <v>57.77</v>
      </c>
      <c r="AG110" s="23">
        <v>66.64</v>
      </c>
      <c r="AH110" s="23">
        <v>73.29</v>
      </c>
      <c r="AI110" s="23">
        <v>80.87</v>
      </c>
      <c r="AJ110" s="5"/>
      <c r="AK110" s="5"/>
      <c r="AL110" s="21">
        <v>108</v>
      </c>
      <c r="AM110" s="22">
        <f t="shared" si="7"/>
        <v>1728</v>
      </c>
      <c r="AN110" s="23">
        <v>42.13</v>
      </c>
      <c r="AO110" s="23">
        <v>42.13</v>
      </c>
      <c r="AP110" s="23">
        <v>42.39</v>
      </c>
      <c r="AQ110" s="23">
        <v>45.21</v>
      </c>
      <c r="AR110" s="23">
        <v>48.07</v>
      </c>
      <c r="AS110" s="23">
        <v>55.45</v>
      </c>
      <c r="AT110" s="23">
        <v>60.98</v>
      </c>
      <c r="AU110" s="23">
        <v>67.28</v>
      </c>
    </row>
    <row r="111" ht="15.6" spans="2:47">
      <c r="B111" s="21">
        <v>109</v>
      </c>
      <c r="C111" s="22">
        <f t="shared" si="4"/>
        <v>1744</v>
      </c>
      <c r="D111" s="23">
        <v>62.52</v>
      </c>
      <c r="E111" s="23">
        <v>62.52</v>
      </c>
      <c r="F111" s="23">
        <v>62.61</v>
      </c>
      <c r="G111" s="23">
        <v>66.02</v>
      </c>
      <c r="H111" s="23">
        <v>70.67</v>
      </c>
      <c r="I111" s="23">
        <v>80.68</v>
      </c>
      <c r="J111" s="23">
        <v>89.52</v>
      </c>
      <c r="K111" s="23">
        <v>98.81</v>
      </c>
      <c r="L111" s="4"/>
      <c r="M111" s="4"/>
      <c r="N111" s="21">
        <v>109</v>
      </c>
      <c r="O111" s="22">
        <f t="shared" si="5"/>
        <v>1744</v>
      </c>
      <c r="P111" s="23">
        <v>57.31</v>
      </c>
      <c r="Q111" s="23">
        <v>57.31</v>
      </c>
      <c r="R111" s="23">
        <v>57.39</v>
      </c>
      <c r="S111" s="23">
        <v>60.52</v>
      </c>
      <c r="T111" s="23">
        <v>64.78</v>
      </c>
      <c r="U111" s="23">
        <v>73.96</v>
      </c>
      <c r="V111" s="23">
        <v>82.06</v>
      </c>
      <c r="W111" s="23">
        <v>90.58</v>
      </c>
      <c r="X111" s="4"/>
      <c r="Y111" s="4"/>
      <c r="Z111" s="21">
        <v>109</v>
      </c>
      <c r="AA111" s="22">
        <f t="shared" si="6"/>
        <v>1744</v>
      </c>
      <c r="AB111" s="23">
        <v>52.1</v>
      </c>
      <c r="AC111" s="23">
        <v>52.1</v>
      </c>
      <c r="AD111" s="23">
        <v>52.17</v>
      </c>
      <c r="AE111" s="23">
        <v>55.01</v>
      </c>
      <c r="AF111" s="23">
        <v>58.89</v>
      </c>
      <c r="AG111" s="23">
        <v>67.23</v>
      </c>
      <c r="AH111" s="23">
        <v>74.6</v>
      </c>
      <c r="AI111" s="23">
        <v>82.34</v>
      </c>
      <c r="AJ111" s="5"/>
      <c r="AK111" s="5"/>
      <c r="AL111" s="21">
        <v>109</v>
      </c>
      <c r="AM111" s="22">
        <f t="shared" si="7"/>
        <v>1744</v>
      </c>
      <c r="AN111" s="23">
        <v>43.35</v>
      </c>
      <c r="AO111" s="23">
        <v>43.35</v>
      </c>
      <c r="AP111" s="23">
        <v>43.41</v>
      </c>
      <c r="AQ111" s="23">
        <v>45.76</v>
      </c>
      <c r="AR111" s="23">
        <v>48.99</v>
      </c>
      <c r="AS111" s="23">
        <v>55.94</v>
      </c>
      <c r="AT111" s="23">
        <v>62.07</v>
      </c>
      <c r="AU111" s="23">
        <v>68.51</v>
      </c>
    </row>
    <row r="112" ht="15.6" spans="2:47">
      <c r="B112" s="21">
        <v>110</v>
      </c>
      <c r="C112" s="22">
        <f t="shared" si="4"/>
        <v>1760</v>
      </c>
      <c r="D112" s="23">
        <v>63.68</v>
      </c>
      <c r="E112" s="23">
        <v>63.68</v>
      </c>
      <c r="F112" s="23">
        <v>64.12</v>
      </c>
      <c r="G112" s="23">
        <v>67.41</v>
      </c>
      <c r="H112" s="23">
        <v>71.9</v>
      </c>
      <c r="I112" s="23">
        <v>82.91</v>
      </c>
      <c r="J112" s="23">
        <v>91.22</v>
      </c>
      <c r="K112" s="23">
        <v>100.64</v>
      </c>
      <c r="L112" s="4"/>
      <c r="M112" s="4"/>
      <c r="N112" s="21">
        <v>110</v>
      </c>
      <c r="O112" s="22">
        <f t="shared" si="5"/>
        <v>1760</v>
      </c>
      <c r="P112" s="23">
        <v>58.37</v>
      </c>
      <c r="Q112" s="23">
        <v>58.37</v>
      </c>
      <c r="R112" s="23">
        <v>58.78</v>
      </c>
      <c r="S112" s="23">
        <v>61.79</v>
      </c>
      <c r="T112" s="23">
        <v>65.91</v>
      </c>
      <c r="U112" s="23">
        <v>76</v>
      </c>
      <c r="V112" s="23">
        <v>83.62</v>
      </c>
      <c r="W112" s="23">
        <v>92.25</v>
      </c>
      <c r="X112" s="4"/>
      <c r="Y112" s="4"/>
      <c r="Z112" s="21">
        <v>110</v>
      </c>
      <c r="AA112" s="22">
        <f t="shared" si="6"/>
        <v>1760</v>
      </c>
      <c r="AB112" s="23">
        <v>53.06</v>
      </c>
      <c r="AC112" s="23">
        <v>53.06</v>
      </c>
      <c r="AD112" s="23">
        <v>53.43</v>
      </c>
      <c r="AE112" s="23">
        <v>56.17</v>
      </c>
      <c r="AF112" s="23">
        <v>59.91</v>
      </c>
      <c r="AG112" s="23">
        <v>69.09</v>
      </c>
      <c r="AH112" s="23">
        <v>76.01</v>
      </c>
      <c r="AI112" s="23">
        <v>83.86</v>
      </c>
      <c r="AJ112" s="5"/>
      <c r="AK112" s="5"/>
      <c r="AL112" s="21">
        <v>110</v>
      </c>
      <c r="AM112" s="22">
        <f t="shared" si="7"/>
        <v>1760</v>
      </c>
      <c r="AN112" s="23">
        <v>44.14</v>
      </c>
      <c r="AO112" s="23">
        <v>44.14</v>
      </c>
      <c r="AP112" s="23">
        <v>44.45</v>
      </c>
      <c r="AQ112" s="23">
        <v>46.73</v>
      </c>
      <c r="AR112" s="23">
        <v>49.84</v>
      </c>
      <c r="AS112" s="23">
        <v>57.49</v>
      </c>
      <c r="AT112" s="23">
        <v>63.24</v>
      </c>
      <c r="AU112" s="23">
        <v>69.77</v>
      </c>
    </row>
    <row r="113" ht="15.6" spans="2:47">
      <c r="B113" s="21">
        <v>111</v>
      </c>
      <c r="C113" s="22">
        <f t="shared" si="4"/>
        <v>1776</v>
      </c>
      <c r="D113" s="23">
        <v>63.68</v>
      </c>
      <c r="E113" s="23">
        <v>63.68</v>
      </c>
      <c r="F113" s="23">
        <v>64.2</v>
      </c>
      <c r="G113" s="23">
        <v>68.88</v>
      </c>
      <c r="H113" s="23">
        <v>72.74</v>
      </c>
      <c r="I113" s="23">
        <v>82.91</v>
      </c>
      <c r="J113" s="23">
        <v>91.85</v>
      </c>
      <c r="K113" s="23">
        <v>101.81</v>
      </c>
      <c r="L113" s="4"/>
      <c r="M113" s="4"/>
      <c r="N113" s="21">
        <v>111</v>
      </c>
      <c r="O113" s="22">
        <f t="shared" si="5"/>
        <v>1776</v>
      </c>
      <c r="P113" s="23">
        <v>58.37</v>
      </c>
      <c r="Q113" s="23">
        <v>58.37</v>
      </c>
      <c r="R113" s="23">
        <v>58.85</v>
      </c>
      <c r="S113" s="23">
        <v>63.14</v>
      </c>
      <c r="T113" s="23">
        <v>66.68</v>
      </c>
      <c r="U113" s="23">
        <v>76</v>
      </c>
      <c r="V113" s="23">
        <v>84.2</v>
      </c>
      <c r="W113" s="23">
        <v>93.33</v>
      </c>
      <c r="X113" s="4"/>
      <c r="Y113" s="4"/>
      <c r="Z113" s="21">
        <v>111</v>
      </c>
      <c r="AA113" s="22">
        <f t="shared" si="6"/>
        <v>1776</v>
      </c>
      <c r="AB113" s="23">
        <v>53.06</v>
      </c>
      <c r="AC113" s="23">
        <v>53.06</v>
      </c>
      <c r="AD113" s="23">
        <v>53.5</v>
      </c>
      <c r="AE113" s="23">
        <v>57.4</v>
      </c>
      <c r="AF113" s="23">
        <v>60.61</v>
      </c>
      <c r="AG113" s="23">
        <v>69.09</v>
      </c>
      <c r="AH113" s="23">
        <v>76.54</v>
      </c>
      <c r="AI113" s="23">
        <v>84.84</v>
      </c>
      <c r="AJ113" s="5"/>
      <c r="AK113" s="5"/>
      <c r="AL113" s="21">
        <v>111</v>
      </c>
      <c r="AM113" s="22">
        <f t="shared" si="7"/>
        <v>1776</v>
      </c>
      <c r="AN113" s="23">
        <v>44.15</v>
      </c>
      <c r="AO113" s="23">
        <v>44.15</v>
      </c>
      <c r="AP113" s="23">
        <v>44.52</v>
      </c>
      <c r="AQ113" s="23">
        <v>47.76</v>
      </c>
      <c r="AR113" s="23">
        <v>50.42</v>
      </c>
      <c r="AS113" s="23">
        <v>57.49</v>
      </c>
      <c r="AT113" s="23">
        <v>63.69</v>
      </c>
      <c r="AU113" s="23">
        <v>70.6</v>
      </c>
    </row>
    <row r="114" ht="15.6" spans="2:47">
      <c r="B114" s="21">
        <v>112</v>
      </c>
      <c r="C114" s="22">
        <f t="shared" si="4"/>
        <v>1792</v>
      </c>
      <c r="D114" s="23">
        <v>64.43</v>
      </c>
      <c r="E114" s="23">
        <v>64.43</v>
      </c>
      <c r="F114" s="23">
        <v>65.55</v>
      </c>
      <c r="G114" s="23">
        <v>68.91</v>
      </c>
      <c r="H114" s="23">
        <v>72.74</v>
      </c>
      <c r="I114" s="23">
        <v>83.57</v>
      </c>
      <c r="J114" s="23">
        <v>91.88</v>
      </c>
      <c r="K114" s="23">
        <v>101.84</v>
      </c>
      <c r="L114" s="4"/>
      <c r="M114" s="4"/>
      <c r="N114" s="21">
        <v>112</v>
      </c>
      <c r="O114" s="22">
        <f t="shared" si="5"/>
        <v>1792</v>
      </c>
      <c r="P114" s="23">
        <v>59.06</v>
      </c>
      <c r="Q114" s="23">
        <v>59.06</v>
      </c>
      <c r="R114" s="23">
        <v>60.09</v>
      </c>
      <c r="S114" s="23">
        <v>63.17</v>
      </c>
      <c r="T114" s="23">
        <v>66.68</v>
      </c>
      <c r="U114" s="23">
        <v>76.61</v>
      </c>
      <c r="V114" s="23">
        <v>84.22</v>
      </c>
      <c r="W114" s="23">
        <v>93.35</v>
      </c>
      <c r="X114" s="4"/>
      <c r="Y114" s="4"/>
      <c r="Z114" s="21">
        <v>112</v>
      </c>
      <c r="AA114" s="22">
        <f t="shared" si="6"/>
        <v>1792</v>
      </c>
      <c r="AB114" s="23">
        <v>53.69</v>
      </c>
      <c r="AC114" s="23">
        <v>53.69</v>
      </c>
      <c r="AD114" s="23">
        <v>54.62</v>
      </c>
      <c r="AE114" s="23">
        <v>57.42</v>
      </c>
      <c r="AF114" s="23">
        <v>60.61</v>
      </c>
      <c r="AG114" s="23">
        <v>69.64</v>
      </c>
      <c r="AH114" s="23">
        <v>76.56</v>
      </c>
      <c r="AI114" s="23">
        <v>84.86</v>
      </c>
      <c r="AJ114" s="5"/>
      <c r="AK114" s="5"/>
      <c r="AL114" s="21">
        <v>112</v>
      </c>
      <c r="AM114" s="22">
        <f t="shared" si="7"/>
        <v>1792</v>
      </c>
      <c r="AN114" s="23">
        <v>44.67</v>
      </c>
      <c r="AO114" s="23">
        <v>44.67</v>
      </c>
      <c r="AP114" s="23">
        <v>45.44</v>
      </c>
      <c r="AQ114" s="23">
        <v>47.77</v>
      </c>
      <c r="AR114" s="23">
        <v>50.42</v>
      </c>
      <c r="AS114" s="23">
        <v>57.95</v>
      </c>
      <c r="AT114" s="23">
        <v>63.69</v>
      </c>
      <c r="AU114" s="23">
        <v>70.61</v>
      </c>
    </row>
    <row r="115" ht="15.6" spans="2:47">
      <c r="B115" s="21">
        <v>113</v>
      </c>
      <c r="C115" s="22">
        <f t="shared" si="4"/>
        <v>1808</v>
      </c>
      <c r="D115" s="23">
        <v>64.43</v>
      </c>
      <c r="E115" s="23">
        <v>64.43</v>
      </c>
      <c r="F115" s="23">
        <v>65.55</v>
      </c>
      <c r="G115" s="23">
        <v>69.66</v>
      </c>
      <c r="H115" s="23">
        <v>73.41</v>
      </c>
      <c r="I115" s="23">
        <v>83.58</v>
      </c>
      <c r="J115" s="23">
        <v>91.88</v>
      </c>
      <c r="K115" s="23">
        <v>102.72</v>
      </c>
      <c r="L115" s="4"/>
      <c r="M115" s="4"/>
      <c r="N115" s="21">
        <v>113</v>
      </c>
      <c r="O115" s="22">
        <f t="shared" si="5"/>
        <v>1808</v>
      </c>
      <c r="P115" s="23">
        <v>59.06</v>
      </c>
      <c r="Q115" s="23">
        <v>59.06</v>
      </c>
      <c r="R115" s="23">
        <v>60.09</v>
      </c>
      <c r="S115" s="23">
        <v>63.86</v>
      </c>
      <c r="T115" s="23">
        <v>67.29</v>
      </c>
      <c r="U115" s="23">
        <v>76.62</v>
      </c>
      <c r="V115" s="23">
        <v>84.22</v>
      </c>
      <c r="W115" s="23">
        <v>94.16</v>
      </c>
      <c r="X115" s="4"/>
      <c r="Y115" s="4"/>
      <c r="Z115" s="21">
        <v>113</v>
      </c>
      <c r="AA115" s="22">
        <f t="shared" si="6"/>
        <v>1808</v>
      </c>
      <c r="AB115" s="23">
        <v>53.69</v>
      </c>
      <c r="AC115" s="23">
        <v>53.69</v>
      </c>
      <c r="AD115" s="23">
        <v>54.62</v>
      </c>
      <c r="AE115" s="23">
        <v>58.05</v>
      </c>
      <c r="AF115" s="23">
        <v>61.17</v>
      </c>
      <c r="AG115" s="23">
        <v>69.65</v>
      </c>
      <c r="AH115" s="23">
        <v>76.56</v>
      </c>
      <c r="AI115" s="23">
        <v>85.6</v>
      </c>
      <c r="AJ115" s="5"/>
      <c r="AK115" s="5"/>
      <c r="AL115" s="21">
        <v>113</v>
      </c>
      <c r="AM115" s="22">
        <f t="shared" si="7"/>
        <v>1808</v>
      </c>
      <c r="AN115" s="23">
        <v>44.67</v>
      </c>
      <c r="AO115" s="23">
        <v>44.67</v>
      </c>
      <c r="AP115" s="23">
        <v>45.44</v>
      </c>
      <c r="AQ115" s="23">
        <v>48.3</v>
      </c>
      <c r="AR115" s="23">
        <v>50.89</v>
      </c>
      <c r="AS115" s="23">
        <v>57.95</v>
      </c>
      <c r="AT115" s="23">
        <v>63.7</v>
      </c>
      <c r="AU115" s="23">
        <v>71.23</v>
      </c>
    </row>
    <row r="116" ht="15.6" spans="2:47">
      <c r="B116" s="21">
        <v>114</v>
      </c>
      <c r="C116" s="22">
        <f t="shared" si="4"/>
        <v>1824</v>
      </c>
      <c r="D116" s="23">
        <v>65.75</v>
      </c>
      <c r="E116" s="23">
        <v>65.75</v>
      </c>
      <c r="F116" s="23">
        <v>66.95</v>
      </c>
      <c r="G116" s="23">
        <v>71.1</v>
      </c>
      <c r="H116" s="23">
        <v>74.84</v>
      </c>
      <c r="I116" s="23">
        <v>85.79</v>
      </c>
      <c r="J116" s="23">
        <v>94.17</v>
      </c>
      <c r="K116" s="23">
        <v>104.36</v>
      </c>
      <c r="L116" s="4"/>
      <c r="M116" s="4"/>
      <c r="N116" s="21">
        <v>114</v>
      </c>
      <c r="O116" s="22">
        <f t="shared" si="5"/>
        <v>1824</v>
      </c>
      <c r="P116" s="23">
        <v>60.27</v>
      </c>
      <c r="Q116" s="23">
        <v>60.27</v>
      </c>
      <c r="R116" s="23">
        <v>61.37</v>
      </c>
      <c r="S116" s="23">
        <v>65.18</v>
      </c>
      <c r="T116" s="23">
        <v>68.6</v>
      </c>
      <c r="U116" s="23">
        <v>78.64</v>
      </c>
      <c r="V116" s="23">
        <v>86.32</v>
      </c>
      <c r="W116" s="23">
        <v>95.66</v>
      </c>
      <c r="X116" s="4"/>
      <c r="Y116" s="4"/>
      <c r="Z116" s="21">
        <v>114</v>
      </c>
      <c r="AA116" s="22">
        <f t="shared" si="6"/>
        <v>1824</v>
      </c>
      <c r="AB116" s="23">
        <v>54.79</v>
      </c>
      <c r="AC116" s="23">
        <v>54.79</v>
      </c>
      <c r="AD116" s="23">
        <v>55.79</v>
      </c>
      <c r="AE116" s="23">
        <v>59.25</v>
      </c>
      <c r="AF116" s="23">
        <v>62.36</v>
      </c>
      <c r="AG116" s="23">
        <v>71.49</v>
      </c>
      <c r="AH116" s="23">
        <v>78.47</v>
      </c>
      <c r="AI116" s="23">
        <v>86.96</v>
      </c>
      <c r="AJ116" s="5"/>
      <c r="AK116" s="5"/>
      <c r="AL116" s="21">
        <v>114</v>
      </c>
      <c r="AM116" s="22">
        <f t="shared" si="7"/>
        <v>1824</v>
      </c>
      <c r="AN116" s="23">
        <v>45.58</v>
      </c>
      <c r="AO116" s="23">
        <v>45.58</v>
      </c>
      <c r="AP116" s="23">
        <v>46.42</v>
      </c>
      <c r="AQ116" s="23">
        <v>49.3</v>
      </c>
      <c r="AR116" s="23">
        <v>51.89</v>
      </c>
      <c r="AS116" s="23">
        <v>59.48</v>
      </c>
      <c r="AT116" s="23">
        <v>65.3</v>
      </c>
      <c r="AU116" s="23">
        <v>72.36</v>
      </c>
    </row>
    <row r="117" ht="15.6" spans="2:47">
      <c r="B117" s="21">
        <v>115</v>
      </c>
      <c r="C117" s="22">
        <f t="shared" si="4"/>
        <v>1840</v>
      </c>
      <c r="D117" s="23">
        <v>67.04</v>
      </c>
      <c r="E117" s="23">
        <v>67.04</v>
      </c>
      <c r="F117" s="23">
        <v>68.33</v>
      </c>
      <c r="G117" s="23">
        <v>71.74</v>
      </c>
      <c r="H117" s="23">
        <v>75.59</v>
      </c>
      <c r="I117" s="23">
        <v>85.8</v>
      </c>
      <c r="J117" s="23">
        <v>94.88</v>
      </c>
      <c r="K117" s="23">
        <v>104.39</v>
      </c>
      <c r="L117" s="4"/>
      <c r="M117" s="4"/>
      <c r="N117" s="21">
        <v>115</v>
      </c>
      <c r="O117" s="22">
        <f t="shared" si="5"/>
        <v>1840</v>
      </c>
      <c r="P117" s="23">
        <v>61.45</v>
      </c>
      <c r="Q117" s="23">
        <v>61.45</v>
      </c>
      <c r="R117" s="23">
        <v>62.64</v>
      </c>
      <c r="S117" s="23">
        <v>65.76</v>
      </c>
      <c r="T117" s="23">
        <v>69.29</v>
      </c>
      <c r="U117" s="23">
        <v>78.65</v>
      </c>
      <c r="V117" s="23">
        <v>86.97</v>
      </c>
      <c r="W117" s="23">
        <v>95.69</v>
      </c>
      <c r="X117" s="4"/>
      <c r="Y117" s="4"/>
      <c r="Z117" s="21">
        <v>115</v>
      </c>
      <c r="AA117" s="22">
        <f t="shared" si="6"/>
        <v>1840</v>
      </c>
      <c r="AB117" s="23">
        <v>55.86</v>
      </c>
      <c r="AC117" s="23">
        <v>55.86</v>
      </c>
      <c r="AD117" s="23">
        <v>56.94</v>
      </c>
      <c r="AE117" s="23">
        <v>59.78</v>
      </c>
      <c r="AF117" s="23">
        <v>62.99</v>
      </c>
      <c r="AG117" s="23">
        <v>71.5</v>
      </c>
      <c r="AH117" s="23">
        <v>79.06</v>
      </c>
      <c r="AI117" s="23">
        <v>86.99</v>
      </c>
      <c r="AJ117" s="5"/>
      <c r="AK117" s="5"/>
      <c r="AL117" s="21">
        <v>115</v>
      </c>
      <c r="AM117" s="22">
        <f t="shared" si="7"/>
        <v>1840</v>
      </c>
      <c r="AN117" s="23">
        <v>46.48</v>
      </c>
      <c r="AO117" s="23">
        <v>46.48</v>
      </c>
      <c r="AP117" s="23">
        <v>47.38</v>
      </c>
      <c r="AQ117" s="23">
        <v>49.74</v>
      </c>
      <c r="AR117" s="23">
        <v>52.4</v>
      </c>
      <c r="AS117" s="23">
        <v>59.5</v>
      </c>
      <c r="AT117" s="23">
        <v>65.79</v>
      </c>
      <c r="AU117" s="23">
        <v>72.37</v>
      </c>
    </row>
    <row r="118" ht="15.6" spans="2:47">
      <c r="B118" s="21">
        <v>116</v>
      </c>
      <c r="C118" s="22">
        <f t="shared" si="4"/>
        <v>1856</v>
      </c>
      <c r="D118" s="23">
        <v>67.12</v>
      </c>
      <c r="E118" s="23">
        <v>67.12</v>
      </c>
      <c r="F118" s="23">
        <v>68.55</v>
      </c>
      <c r="G118" s="23">
        <v>72.69</v>
      </c>
      <c r="H118" s="23">
        <v>75.94</v>
      </c>
      <c r="I118" s="23">
        <v>86.9</v>
      </c>
      <c r="J118" s="23">
        <v>96.26</v>
      </c>
      <c r="K118" s="23">
        <v>105.82</v>
      </c>
      <c r="L118" s="4"/>
      <c r="M118" s="4"/>
      <c r="N118" s="21">
        <v>116</v>
      </c>
      <c r="O118" s="22">
        <f t="shared" si="5"/>
        <v>1856</v>
      </c>
      <c r="P118" s="23">
        <v>61.53</v>
      </c>
      <c r="Q118" s="23">
        <v>61.53</v>
      </c>
      <c r="R118" s="23">
        <v>62.84</v>
      </c>
      <c r="S118" s="23">
        <v>66.63</v>
      </c>
      <c r="T118" s="23">
        <v>69.61</v>
      </c>
      <c r="U118" s="23">
        <v>79.66</v>
      </c>
      <c r="V118" s="23">
        <v>88.24</v>
      </c>
      <c r="W118" s="23">
        <v>97</v>
      </c>
      <c r="X118" s="4"/>
      <c r="Y118" s="4"/>
      <c r="Z118" s="21">
        <v>116</v>
      </c>
      <c r="AA118" s="22">
        <f t="shared" si="6"/>
        <v>1856</v>
      </c>
      <c r="AB118" s="23">
        <v>55.93</v>
      </c>
      <c r="AC118" s="23">
        <v>55.93</v>
      </c>
      <c r="AD118" s="23">
        <v>57.12</v>
      </c>
      <c r="AE118" s="23">
        <v>60.57</v>
      </c>
      <c r="AF118" s="23">
        <v>63.28</v>
      </c>
      <c r="AG118" s="23">
        <v>72.41</v>
      </c>
      <c r="AH118" s="23">
        <v>80.21</v>
      </c>
      <c r="AI118" s="23">
        <v>88.18</v>
      </c>
      <c r="AJ118" s="5"/>
      <c r="AK118" s="5"/>
      <c r="AL118" s="21">
        <v>116</v>
      </c>
      <c r="AM118" s="22">
        <f t="shared" si="7"/>
        <v>1856</v>
      </c>
      <c r="AN118" s="23">
        <v>46.53</v>
      </c>
      <c r="AO118" s="23">
        <v>46.53</v>
      </c>
      <c r="AP118" s="23">
        <v>47.53</v>
      </c>
      <c r="AQ118" s="23">
        <v>50.39</v>
      </c>
      <c r="AR118" s="23">
        <v>52.66</v>
      </c>
      <c r="AS118" s="23">
        <v>60.25</v>
      </c>
      <c r="AT118" s="23">
        <v>66.74</v>
      </c>
      <c r="AU118" s="23">
        <v>73.36</v>
      </c>
    </row>
    <row r="119" ht="15.6" spans="2:47">
      <c r="B119" s="21">
        <v>117</v>
      </c>
      <c r="C119" s="22">
        <f t="shared" si="4"/>
        <v>1872</v>
      </c>
      <c r="D119" s="23">
        <v>67.18</v>
      </c>
      <c r="E119" s="23">
        <v>67.18</v>
      </c>
      <c r="F119" s="23">
        <v>68.62</v>
      </c>
      <c r="G119" s="23">
        <v>72.69</v>
      </c>
      <c r="H119" s="23">
        <v>76.77</v>
      </c>
      <c r="I119" s="23">
        <v>87.06</v>
      </c>
      <c r="J119" s="23">
        <v>96.26</v>
      </c>
      <c r="K119" s="23">
        <v>106.71</v>
      </c>
      <c r="L119" s="4"/>
      <c r="M119" s="4"/>
      <c r="N119" s="21">
        <v>117</v>
      </c>
      <c r="O119" s="22">
        <f t="shared" si="5"/>
        <v>1872</v>
      </c>
      <c r="P119" s="23">
        <v>61.58</v>
      </c>
      <c r="Q119" s="23">
        <v>61.58</v>
      </c>
      <c r="R119" s="23">
        <v>62.9</v>
      </c>
      <c r="S119" s="23">
        <v>66.63</v>
      </c>
      <c r="T119" s="23">
        <v>70.37</v>
      </c>
      <c r="U119" s="23">
        <v>79.81</v>
      </c>
      <c r="V119" s="23">
        <v>88.24</v>
      </c>
      <c r="W119" s="23">
        <v>97.82</v>
      </c>
      <c r="X119" s="4"/>
      <c r="Y119" s="4"/>
      <c r="Z119" s="21">
        <v>117</v>
      </c>
      <c r="AA119" s="22">
        <f t="shared" si="6"/>
        <v>1872</v>
      </c>
      <c r="AB119" s="23">
        <v>55.98</v>
      </c>
      <c r="AC119" s="23">
        <v>55.98</v>
      </c>
      <c r="AD119" s="23">
        <v>57.18</v>
      </c>
      <c r="AE119" s="23">
        <v>60.57</v>
      </c>
      <c r="AF119" s="23">
        <v>63.97</v>
      </c>
      <c r="AG119" s="23">
        <v>72.55</v>
      </c>
      <c r="AH119" s="23">
        <v>80.21</v>
      </c>
      <c r="AI119" s="23">
        <v>88.92</v>
      </c>
      <c r="AJ119" s="5"/>
      <c r="AK119" s="5"/>
      <c r="AL119" s="21">
        <v>117</v>
      </c>
      <c r="AM119" s="22">
        <f t="shared" si="7"/>
        <v>1872</v>
      </c>
      <c r="AN119" s="23">
        <v>46.57</v>
      </c>
      <c r="AO119" s="23">
        <v>46.57</v>
      </c>
      <c r="AP119" s="23">
        <v>47.58</v>
      </c>
      <c r="AQ119" s="23">
        <v>50.4</v>
      </c>
      <c r="AR119" s="23">
        <v>53.23</v>
      </c>
      <c r="AS119" s="23">
        <v>60.37</v>
      </c>
      <c r="AT119" s="23">
        <v>66.74</v>
      </c>
      <c r="AU119" s="23">
        <v>73.99</v>
      </c>
    </row>
    <row r="120" ht="15.6" spans="2:47">
      <c r="B120" s="21">
        <v>118</v>
      </c>
      <c r="C120" s="22">
        <f t="shared" si="4"/>
        <v>1888</v>
      </c>
      <c r="D120" s="23">
        <v>68.54</v>
      </c>
      <c r="E120" s="23">
        <v>68.54</v>
      </c>
      <c r="F120" s="23">
        <v>70.08</v>
      </c>
      <c r="G120" s="23">
        <v>72.77</v>
      </c>
      <c r="H120" s="23">
        <v>77.01</v>
      </c>
      <c r="I120" s="23">
        <v>87.7</v>
      </c>
      <c r="J120" s="23">
        <v>96.27</v>
      </c>
      <c r="K120" s="23">
        <v>108.32</v>
      </c>
      <c r="L120" s="4"/>
      <c r="M120" s="4"/>
      <c r="N120" s="21">
        <v>118</v>
      </c>
      <c r="O120" s="22">
        <f t="shared" si="5"/>
        <v>1888</v>
      </c>
      <c r="P120" s="23">
        <v>62.83</v>
      </c>
      <c r="Q120" s="23">
        <v>62.83</v>
      </c>
      <c r="R120" s="23">
        <v>64.24</v>
      </c>
      <c r="S120" s="23">
        <v>66.71</v>
      </c>
      <c r="T120" s="23">
        <v>70.59</v>
      </c>
      <c r="U120" s="23">
        <v>80.39</v>
      </c>
      <c r="V120" s="23">
        <v>88.25</v>
      </c>
      <c r="W120" s="23">
        <v>99.29</v>
      </c>
      <c r="X120" s="4"/>
      <c r="Y120" s="4"/>
      <c r="Z120" s="21">
        <v>118</v>
      </c>
      <c r="AA120" s="22">
        <f t="shared" si="6"/>
        <v>1888</v>
      </c>
      <c r="AB120" s="23">
        <v>57.11</v>
      </c>
      <c r="AC120" s="23">
        <v>57.11</v>
      </c>
      <c r="AD120" s="23">
        <v>58.4</v>
      </c>
      <c r="AE120" s="23">
        <v>60.64</v>
      </c>
      <c r="AF120" s="23">
        <v>64.17</v>
      </c>
      <c r="AG120" s="23">
        <v>73.08</v>
      </c>
      <c r="AH120" s="23">
        <v>80.22</v>
      </c>
      <c r="AI120" s="23">
        <v>90.26</v>
      </c>
      <c r="AJ120" s="5"/>
      <c r="AK120" s="5"/>
      <c r="AL120" s="21">
        <v>118</v>
      </c>
      <c r="AM120" s="22">
        <f t="shared" si="7"/>
        <v>1888</v>
      </c>
      <c r="AN120" s="23">
        <v>47.51</v>
      </c>
      <c r="AO120" s="23">
        <v>47.51</v>
      </c>
      <c r="AP120" s="23">
        <v>48.59</v>
      </c>
      <c r="AQ120" s="23">
        <v>50.46</v>
      </c>
      <c r="AR120" s="23">
        <v>53.38</v>
      </c>
      <c r="AS120" s="23">
        <v>60.81</v>
      </c>
      <c r="AT120" s="23">
        <v>66.75</v>
      </c>
      <c r="AU120" s="23">
        <v>75.1</v>
      </c>
    </row>
    <row r="121" ht="15.6" spans="2:47">
      <c r="B121" s="21">
        <v>119</v>
      </c>
      <c r="C121" s="22">
        <f t="shared" si="4"/>
        <v>1904</v>
      </c>
      <c r="D121" s="23">
        <v>69.78</v>
      </c>
      <c r="E121" s="23">
        <v>69.78</v>
      </c>
      <c r="F121" s="23">
        <v>70.79</v>
      </c>
      <c r="G121" s="23">
        <v>74.92</v>
      </c>
      <c r="H121" s="23">
        <v>78.02</v>
      </c>
      <c r="I121" s="23">
        <v>87.72</v>
      </c>
      <c r="J121" s="23">
        <v>97.02</v>
      </c>
      <c r="K121" s="23">
        <v>108.4</v>
      </c>
      <c r="L121" s="4"/>
      <c r="M121" s="4"/>
      <c r="N121" s="21">
        <v>119</v>
      </c>
      <c r="O121" s="22">
        <f t="shared" si="5"/>
        <v>1904</v>
      </c>
      <c r="P121" s="23">
        <v>63.97</v>
      </c>
      <c r="Q121" s="23">
        <v>63.97</v>
      </c>
      <c r="R121" s="23">
        <v>64.89</v>
      </c>
      <c r="S121" s="23">
        <v>68.68</v>
      </c>
      <c r="T121" s="23">
        <v>71.52</v>
      </c>
      <c r="U121" s="23">
        <v>80.41</v>
      </c>
      <c r="V121" s="23">
        <v>88.94</v>
      </c>
      <c r="W121" s="23">
        <v>99.37</v>
      </c>
      <c r="X121" s="4"/>
      <c r="Y121" s="4"/>
      <c r="Z121" s="21">
        <v>119</v>
      </c>
      <c r="AA121" s="22">
        <f t="shared" si="6"/>
        <v>1904</v>
      </c>
      <c r="AB121" s="23">
        <v>58.15</v>
      </c>
      <c r="AC121" s="23">
        <v>58.15</v>
      </c>
      <c r="AD121" s="23">
        <v>58.99</v>
      </c>
      <c r="AE121" s="23">
        <v>62.43</v>
      </c>
      <c r="AF121" s="23">
        <v>65.01</v>
      </c>
      <c r="AG121" s="23">
        <v>73.1</v>
      </c>
      <c r="AH121" s="23">
        <v>80.85</v>
      </c>
      <c r="AI121" s="23">
        <v>90.33</v>
      </c>
      <c r="AJ121" s="5"/>
      <c r="AK121" s="5"/>
      <c r="AL121" s="21">
        <v>119</v>
      </c>
      <c r="AM121" s="22">
        <f t="shared" si="7"/>
        <v>1904</v>
      </c>
      <c r="AN121" s="23">
        <v>48.38</v>
      </c>
      <c r="AO121" s="23">
        <v>48.38</v>
      </c>
      <c r="AP121" s="23">
        <v>49.08</v>
      </c>
      <c r="AQ121" s="23">
        <v>51.95</v>
      </c>
      <c r="AR121" s="23">
        <v>54.08</v>
      </c>
      <c r="AS121" s="23">
        <v>60.82</v>
      </c>
      <c r="AT121" s="23">
        <v>67.28</v>
      </c>
      <c r="AU121" s="23">
        <v>75.15</v>
      </c>
    </row>
    <row r="122" ht="15.6" spans="2:47">
      <c r="B122" s="21">
        <v>120</v>
      </c>
      <c r="C122" s="22">
        <f t="shared" si="4"/>
        <v>1920</v>
      </c>
      <c r="D122" s="23">
        <v>71.76</v>
      </c>
      <c r="E122" s="23">
        <v>71.76</v>
      </c>
      <c r="F122" s="23">
        <v>71.86</v>
      </c>
      <c r="G122" s="23">
        <v>75.04</v>
      </c>
      <c r="H122" s="23">
        <v>78.7</v>
      </c>
      <c r="I122" s="23">
        <v>89.25</v>
      </c>
      <c r="J122" s="23">
        <v>98.31</v>
      </c>
      <c r="K122" s="23">
        <v>108.56</v>
      </c>
      <c r="L122" s="4"/>
      <c r="M122" s="4"/>
      <c r="N122" s="21">
        <v>120</v>
      </c>
      <c r="O122" s="22">
        <f t="shared" si="5"/>
        <v>1920</v>
      </c>
      <c r="P122" s="23">
        <v>65.78</v>
      </c>
      <c r="Q122" s="23">
        <v>65.78</v>
      </c>
      <c r="R122" s="23">
        <v>65.87</v>
      </c>
      <c r="S122" s="23">
        <v>68.79</v>
      </c>
      <c r="T122" s="23">
        <v>72.14</v>
      </c>
      <c r="U122" s="23">
        <v>81.81</v>
      </c>
      <c r="V122" s="23">
        <v>90.12</v>
      </c>
      <c r="W122" s="23">
        <v>99.51</v>
      </c>
      <c r="X122" s="4"/>
      <c r="Y122" s="4"/>
      <c r="Z122" s="21">
        <v>120</v>
      </c>
      <c r="AA122" s="22">
        <f t="shared" si="6"/>
        <v>1920</v>
      </c>
      <c r="AB122" s="23">
        <v>59.8</v>
      </c>
      <c r="AC122" s="23">
        <v>59.8</v>
      </c>
      <c r="AD122" s="23">
        <v>59.88</v>
      </c>
      <c r="AE122" s="23">
        <v>62.53</v>
      </c>
      <c r="AF122" s="23">
        <v>65.58</v>
      </c>
      <c r="AG122" s="23">
        <v>74.37</v>
      </c>
      <c r="AH122" s="23">
        <v>81.92</v>
      </c>
      <c r="AI122" s="23">
        <v>90.46</v>
      </c>
      <c r="AJ122" s="5"/>
      <c r="AK122" s="5"/>
      <c r="AL122" s="21">
        <v>120</v>
      </c>
      <c r="AM122" s="22">
        <f t="shared" si="7"/>
        <v>1920</v>
      </c>
      <c r="AN122" s="23">
        <v>49.75</v>
      </c>
      <c r="AO122" s="23">
        <v>49.75</v>
      </c>
      <c r="AP122" s="23">
        <v>49.83</v>
      </c>
      <c r="AQ122" s="23">
        <v>52.02</v>
      </c>
      <c r="AR122" s="23">
        <v>54.56</v>
      </c>
      <c r="AS122" s="23">
        <v>61.88</v>
      </c>
      <c r="AT122" s="23">
        <v>68.16</v>
      </c>
      <c r="AU122" s="23">
        <v>75.26</v>
      </c>
    </row>
    <row r="123" ht="15.6" spans="2:47">
      <c r="B123" s="21">
        <v>121</v>
      </c>
      <c r="C123" s="22">
        <f t="shared" si="4"/>
        <v>1936</v>
      </c>
      <c r="D123" s="23">
        <v>71.8</v>
      </c>
      <c r="E123" s="23">
        <v>71.8</v>
      </c>
      <c r="F123" s="23">
        <v>71.88</v>
      </c>
      <c r="G123" s="23">
        <v>75.05</v>
      </c>
      <c r="H123" s="23">
        <v>78.71</v>
      </c>
      <c r="I123" s="23">
        <v>89.82</v>
      </c>
      <c r="J123" s="23">
        <v>98.31</v>
      </c>
      <c r="K123" s="23">
        <v>108.56</v>
      </c>
      <c r="L123" s="4"/>
      <c r="M123" s="4"/>
      <c r="N123" s="21">
        <v>121</v>
      </c>
      <c r="O123" s="22">
        <f t="shared" si="5"/>
        <v>1936</v>
      </c>
      <c r="P123" s="23">
        <v>65.82</v>
      </c>
      <c r="Q123" s="23">
        <v>65.82</v>
      </c>
      <c r="R123" s="23">
        <v>65.89</v>
      </c>
      <c r="S123" s="23">
        <v>68.8</v>
      </c>
      <c r="T123" s="23">
        <v>72.15</v>
      </c>
      <c r="U123" s="23">
        <v>82.34</v>
      </c>
      <c r="V123" s="23">
        <v>90.12</v>
      </c>
      <c r="W123" s="23">
        <v>99.51</v>
      </c>
      <c r="X123" s="4"/>
      <c r="Y123" s="4"/>
      <c r="Z123" s="21">
        <v>121</v>
      </c>
      <c r="AA123" s="22">
        <f t="shared" si="6"/>
        <v>1936</v>
      </c>
      <c r="AB123" s="23">
        <v>59.83</v>
      </c>
      <c r="AC123" s="23">
        <v>59.83</v>
      </c>
      <c r="AD123" s="23">
        <v>59.9</v>
      </c>
      <c r="AE123" s="23">
        <v>62.54</v>
      </c>
      <c r="AF123" s="23">
        <v>65.59</v>
      </c>
      <c r="AG123" s="23">
        <v>74.85</v>
      </c>
      <c r="AH123" s="23">
        <v>81.92</v>
      </c>
      <c r="AI123" s="23">
        <v>90.46</v>
      </c>
      <c r="AJ123" s="5"/>
      <c r="AK123" s="5"/>
      <c r="AL123" s="21">
        <v>121</v>
      </c>
      <c r="AM123" s="22">
        <f t="shared" si="7"/>
        <v>1936</v>
      </c>
      <c r="AN123" s="23">
        <v>49.78</v>
      </c>
      <c r="AO123" s="23">
        <v>49.78</v>
      </c>
      <c r="AP123" s="23">
        <v>49.83</v>
      </c>
      <c r="AQ123" s="23">
        <v>52.03</v>
      </c>
      <c r="AR123" s="23">
        <v>54.57</v>
      </c>
      <c r="AS123" s="23">
        <v>62.27</v>
      </c>
      <c r="AT123" s="23">
        <v>68.17</v>
      </c>
      <c r="AU123" s="23">
        <v>75.27</v>
      </c>
    </row>
    <row r="124" ht="15.6" spans="2:47">
      <c r="B124" s="21">
        <v>122</v>
      </c>
      <c r="C124" s="22">
        <f t="shared" si="4"/>
        <v>1952</v>
      </c>
      <c r="D124" s="23">
        <v>71.82</v>
      </c>
      <c r="E124" s="23">
        <v>71.82</v>
      </c>
      <c r="F124" s="23">
        <v>73.25</v>
      </c>
      <c r="G124" s="23">
        <v>75.76</v>
      </c>
      <c r="H124" s="23">
        <v>79.42</v>
      </c>
      <c r="I124" s="23">
        <v>90.51</v>
      </c>
      <c r="J124" s="23">
        <v>99.86</v>
      </c>
      <c r="K124" s="23">
        <v>110.46</v>
      </c>
      <c r="L124" s="4"/>
      <c r="M124" s="4"/>
      <c r="N124" s="21">
        <v>122</v>
      </c>
      <c r="O124" s="22">
        <f t="shared" si="5"/>
        <v>1952</v>
      </c>
      <c r="P124" s="23">
        <v>65.84</v>
      </c>
      <c r="Q124" s="23">
        <v>65.84</v>
      </c>
      <c r="R124" s="23">
        <v>67.15</v>
      </c>
      <c r="S124" s="23">
        <v>69.45</v>
      </c>
      <c r="T124" s="23">
        <v>72.8</v>
      </c>
      <c r="U124" s="23">
        <v>82.97</v>
      </c>
      <c r="V124" s="23">
        <v>91.54</v>
      </c>
      <c r="W124" s="23">
        <v>101.26</v>
      </c>
      <c r="X124" s="4"/>
      <c r="Y124" s="4"/>
      <c r="Z124" s="21">
        <v>122</v>
      </c>
      <c r="AA124" s="22">
        <f t="shared" si="6"/>
        <v>1952</v>
      </c>
      <c r="AB124" s="23">
        <v>59.85</v>
      </c>
      <c r="AC124" s="23">
        <v>59.85</v>
      </c>
      <c r="AD124" s="23">
        <v>61.04</v>
      </c>
      <c r="AE124" s="23">
        <v>63.13</v>
      </c>
      <c r="AF124" s="23">
        <v>66.18</v>
      </c>
      <c r="AG124" s="23">
        <v>75.42</v>
      </c>
      <c r="AH124" s="23">
        <v>83.21</v>
      </c>
      <c r="AI124" s="23">
        <v>92.05</v>
      </c>
      <c r="AJ124" s="5"/>
      <c r="AK124" s="5"/>
      <c r="AL124" s="21">
        <v>122</v>
      </c>
      <c r="AM124" s="22">
        <f t="shared" si="7"/>
        <v>1952</v>
      </c>
      <c r="AN124" s="23">
        <v>49.8</v>
      </c>
      <c r="AO124" s="23">
        <v>49.8</v>
      </c>
      <c r="AP124" s="23">
        <v>50.79</v>
      </c>
      <c r="AQ124" s="23">
        <v>52.54</v>
      </c>
      <c r="AR124" s="23">
        <v>55.07</v>
      </c>
      <c r="AS124" s="23">
        <v>62.76</v>
      </c>
      <c r="AT124" s="23">
        <v>69.23</v>
      </c>
      <c r="AU124" s="23">
        <v>76.59</v>
      </c>
    </row>
    <row r="125" ht="15.6" spans="2:47">
      <c r="B125" s="21">
        <v>123</v>
      </c>
      <c r="C125" s="22">
        <f t="shared" si="4"/>
        <v>1968</v>
      </c>
      <c r="D125" s="23">
        <v>73.02</v>
      </c>
      <c r="E125" s="23">
        <v>73.02</v>
      </c>
      <c r="F125" s="23">
        <v>73.96</v>
      </c>
      <c r="G125" s="23">
        <v>78.78</v>
      </c>
      <c r="H125" s="23">
        <v>81.42</v>
      </c>
      <c r="I125" s="23">
        <v>91.23</v>
      </c>
      <c r="J125" s="23">
        <v>101.5</v>
      </c>
      <c r="K125" s="23">
        <v>111.75</v>
      </c>
      <c r="L125" s="4"/>
      <c r="M125" s="4"/>
      <c r="N125" s="21">
        <v>123</v>
      </c>
      <c r="O125" s="22">
        <f t="shared" si="5"/>
        <v>1968</v>
      </c>
      <c r="P125" s="23">
        <v>66.94</v>
      </c>
      <c r="Q125" s="23">
        <v>66.94</v>
      </c>
      <c r="R125" s="23">
        <v>67.8</v>
      </c>
      <c r="S125" s="23">
        <v>72.22</v>
      </c>
      <c r="T125" s="23">
        <v>74.64</v>
      </c>
      <c r="U125" s="23">
        <v>83.63</v>
      </c>
      <c r="V125" s="23">
        <v>93.04</v>
      </c>
      <c r="W125" s="23">
        <v>102.44</v>
      </c>
      <c r="X125" s="4"/>
      <c r="Y125" s="4"/>
      <c r="Z125" s="21">
        <v>123</v>
      </c>
      <c r="AA125" s="22">
        <f t="shared" si="6"/>
        <v>1968</v>
      </c>
      <c r="AB125" s="23">
        <v>60.85</v>
      </c>
      <c r="AC125" s="23">
        <v>60.85</v>
      </c>
      <c r="AD125" s="23">
        <v>61.63</v>
      </c>
      <c r="AE125" s="23">
        <v>65.65</v>
      </c>
      <c r="AF125" s="23">
        <v>67.85</v>
      </c>
      <c r="AG125" s="23">
        <v>76.02</v>
      </c>
      <c r="AH125" s="23">
        <v>84.58</v>
      </c>
      <c r="AI125" s="23">
        <v>93.12</v>
      </c>
      <c r="AJ125" s="5"/>
      <c r="AK125" s="5"/>
      <c r="AL125" s="21">
        <v>123</v>
      </c>
      <c r="AM125" s="22">
        <f t="shared" si="7"/>
        <v>1968</v>
      </c>
      <c r="AN125" s="23">
        <v>50.62</v>
      </c>
      <c r="AO125" s="23">
        <v>50.62</v>
      </c>
      <c r="AP125" s="23">
        <v>51.28</v>
      </c>
      <c r="AQ125" s="23">
        <v>54.62</v>
      </c>
      <c r="AR125" s="23">
        <v>56.44</v>
      </c>
      <c r="AS125" s="23">
        <v>63.25</v>
      </c>
      <c r="AT125" s="23">
        <v>70.38</v>
      </c>
      <c r="AU125" s="23">
        <v>77.48</v>
      </c>
    </row>
    <row r="126" ht="15.6" spans="2:47">
      <c r="B126" s="21">
        <v>124</v>
      </c>
      <c r="C126" s="22">
        <f t="shared" si="4"/>
        <v>1984</v>
      </c>
      <c r="D126" s="23">
        <v>73.11</v>
      </c>
      <c r="E126" s="23">
        <v>73.11</v>
      </c>
      <c r="F126" s="23">
        <v>74.04</v>
      </c>
      <c r="G126" s="23">
        <v>78.87</v>
      </c>
      <c r="H126" s="23">
        <v>81.42</v>
      </c>
      <c r="I126" s="23">
        <v>91.65</v>
      </c>
      <c r="J126" s="23">
        <v>101.51</v>
      </c>
      <c r="K126" s="23">
        <v>111.96</v>
      </c>
      <c r="L126" s="4"/>
      <c r="M126" s="4"/>
      <c r="N126" s="21">
        <v>124</v>
      </c>
      <c r="O126" s="22">
        <f t="shared" si="5"/>
        <v>1984</v>
      </c>
      <c r="P126" s="23">
        <v>67.02</v>
      </c>
      <c r="Q126" s="23">
        <v>67.02</v>
      </c>
      <c r="R126" s="23">
        <v>67.87</v>
      </c>
      <c r="S126" s="23">
        <v>72.3</v>
      </c>
      <c r="T126" s="23">
        <v>74.64</v>
      </c>
      <c r="U126" s="23">
        <v>84.01</v>
      </c>
      <c r="V126" s="23">
        <v>93.05</v>
      </c>
      <c r="W126" s="23">
        <v>102.63</v>
      </c>
      <c r="X126" s="4"/>
      <c r="Y126" s="4"/>
      <c r="Z126" s="21">
        <v>124</v>
      </c>
      <c r="AA126" s="22">
        <f t="shared" si="6"/>
        <v>1984</v>
      </c>
      <c r="AB126" s="23">
        <v>60.92</v>
      </c>
      <c r="AC126" s="23">
        <v>60.92</v>
      </c>
      <c r="AD126" s="23">
        <v>61.7</v>
      </c>
      <c r="AE126" s="23">
        <v>65.72</v>
      </c>
      <c r="AF126" s="23">
        <v>67.85</v>
      </c>
      <c r="AG126" s="23">
        <v>76.37</v>
      </c>
      <c r="AH126" s="23">
        <v>84.59</v>
      </c>
      <c r="AI126" s="23">
        <v>93.3</v>
      </c>
      <c r="AJ126" s="5"/>
      <c r="AK126" s="5"/>
      <c r="AL126" s="21">
        <v>124</v>
      </c>
      <c r="AM126" s="22">
        <f t="shared" si="7"/>
        <v>1984</v>
      </c>
      <c r="AN126" s="23">
        <v>50.69</v>
      </c>
      <c r="AO126" s="23">
        <v>50.69</v>
      </c>
      <c r="AP126" s="23">
        <v>51.34</v>
      </c>
      <c r="AQ126" s="23">
        <v>54.68</v>
      </c>
      <c r="AR126" s="23">
        <v>56.45</v>
      </c>
      <c r="AS126" s="23">
        <v>63.55</v>
      </c>
      <c r="AT126" s="23">
        <v>70.38</v>
      </c>
      <c r="AU126" s="23">
        <v>77.64</v>
      </c>
    </row>
    <row r="127" ht="15.6" spans="2:47">
      <c r="B127" s="21">
        <v>125</v>
      </c>
      <c r="C127" s="22">
        <f t="shared" si="4"/>
        <v>2000</v>
      </c>
      <c r="D127" s="23">
        <v>73.17</v>
      </c>
      <c r="E127" s="23">
        <v>73.17</v>
      </c>
      <c r="F127" s="23">
        <v>74.07</v>
      </c>
      <c r="G127" s="23">
        <v>78.87</v>
      </c>
      <c r="H127" s="23">
        <v>81.59</v>
      </c>
      <c r="I127" s="23">
        <v>91.84</v>
      </c>
      <c r="J127" s="23">
        <v>101.51</v>
      </c>
      <c r="K127" s="23">
        <v>111.98</v>
      </c>
      <c r="L127" s="4"/>
      <c r="M127" s="4"/>
      <c r="N127" s="21">
        <v>125</v>
      </c>
      <c r="O127" s="22">
        <f t="shared" si="5"/>
        <v>2000</v>
      </c>
      <c r="P127" s="23">
        <v>67.07</v>
      </c>
      <c r="Q127" s="23">
        <v>67.07</v>
      </c>
      <c r="R127" s="23">
        <v>67.9</v>
      </c>
      <c r="S127" s="23">
        <v>72.3</v>
      </c>
      <c r="T127" s="23">
        <v>74.79</v>
      </c>
      <c r="U127" s="23">
        <v>84.19</v>
      </c>
      <c r="V127" s="23">
        <v>93.05</v>
      </c>
      <c r="W127" s="23">
        <v>102.65</v>
      </c>
      <c r="X127" s="4"/>
      <c r="Y127" s="4"/>
      <c r="Z127" s="21">
        <v>125</v>
      </c>
      <c r="AA127" s="22">
        <f t="shared" si="6"/>
        <v>2000</v>
      </c>
      <c r="AB127" s="23">
        <v>60.97</v>
      </c>
      <c r="AC127" s="23">
        <v>60.97</v>
      </c>
      <c r="AD127" s="23">
        <v>61.72</v>
      </c>
      <c r="AE127" s="23">
        <v>65.72</v>
      </c>
      <c r="AF127" s="23">
        <v>67.99</v>
      </c>
      <c r="AG127" s="23">
        <v>76.53</v>
      </c>
      <c r="AH127" s="23">
        <v>84.59</v>
      </c>
      <c r="AI127" s="23">
        <v>93.31</v>
      </c>
      <c r="AJ127" s="5"/>
      <c r="AK127" s="5"/>
      <c r="AL127" s="21">
        <v>125</v>
      </c>
      <c r="AM127" s="22">
        <f t="shared" si="7"/>
        <v>2000</v>
      </c>
      <c r="AN127" s="23">
        <v>50.73</v>
      </c>
      <c r="AO127" s="23">
        <v>50.73</v>
      </c>
      <c r="AP127" s="23">
        <v>51.35</v>
      </c>
      <c r="AQ127" s="23">
        <v>54.68</v>
      </c>
      <c r="AR127" s="23">
        <v>56.56</v>
      </c>
      <c r="AS127" s="23">
        <v>63.67</v>
      </c>
      <c r="AT127" s="23">
        <v>70.39</v>
      </c>
      <c r="AU127" s="23">
        <v>77.64</v>
      </c>
    </row>
    <row r="128" ht="15.6" spans="2:47">
      <c r="B128" s="21">
        <v>126</v>
      </c>
      <c r="C128" s="22">
        <f t="shared" si="4"/>
        <v>2016</v>
      </c>
      <c r="D128" s="23">
        <v>74.63</v>
      </c>
      <c r="E128" s="23">
        <v>74.63</v>
      </c>
      <c r="F128" s="23">
        <v>74.79</v>
      </c>
      <c r="G128" s="23">
        <v>79.67</v>
      </c>
      <c r="H128" s="23">
        <v>81.6</v>
      </c>
      <c r="I128" s="23">
        <v>92.38</v>
      </c>
      <c r="J128" s="23">
        <v>101.72</v>
      </c>
      <c r="K128" s="23">
        <v>115.7</v>
      </c>
      <c r="L128" s="4"/>
      <c r="M128" s="4"/>
      <c r="N128" s="21">
        <v>126</v>
      </c>
      <c r="O128" s="22">
        <f t="shared" si="5"/>
        <v>2016</v>
      </c>
      <c r="P128" s="23">
        <v>68.41</v>
      </c>
      <c r="Q128" s="23">
        <v>68.41</v>
      </c>
      <c r="R128" s="23">
        <v>68.56</v>
      </c>
      <c r="S128" s="23">
        <v>73.03</v>
      </c>
      <c r="T128" s="23">
        <v>74.8</v>
      </c>
      <c r="U128" s="23">
        <v>84.68</v>
      </c>
      <c r="V128" s="23">
        <v>93.24</v>
      </c>
      <c r="W128" s="23">
        <v>106.06</v>
      </c>
      <c r="X128" s="4"/>
      <c r="Y128" s="4"/>
      <c r="Z128" s="21">
        <v>126</v>
      </c>
      <c r="AA128" s="22">
        <f t="shared" si="6"/>
        <v>2016</v>
      </c>
      <c r="AB128" s="23">
        <v>62.19</v>
      </c>
      <c r="AC128" s="23">
        <v>62.19</v>
      </c>
      <c r="AD128" s="23">
        <v>62.32</v>
      </c>
      <c r="AE128" s="23">
        <v>66.39</v>
      </c>
      <c r="AF128" s="23">
        <v>68</v>
      </c>
      <c r="AG128" s="23">
        <v>76.98</v>
      </c>
      <c r="AH128" s="23">
        <v>84.76</v>
      </c>
      <c r="AI128" s="23">
        <v>96.41</v>
      </c>
      <c r="AJ128" s="5"/>
      <c r="AK128" s="5"/>
      <c r="AL128" s="21">
        <v>126</v>
      </c>
      <c r="AM128" s="22">
        <f t="shared" si="7"/>
        <v>2016</v>
      </c>
      <c r="AN128" s="23">
        <v>51.74</v>
      </c>
      <c r="AO128" s="23">
        <v>51.74</v>
      </c>
      <c r="AP128" s="23">
        <v>51.85</v>
      </c>
      <c r="AQ128" s="23">
        <v>55.24</v>
      </c>
      <c r="AR128" s="23">
        <v>56.57</v>
      </c>
      <c r="AS128" s="23">
        <v>64.05</v>
      </c>
      <c r="AT128" s="23">
        <v>70.53</v>
      </c>
      <c r="AU128" s="23">
        <v>80.21</v>
      </c>
    </row>
    <row r="129" ht="15.6" spans="2:47">
      <c r="B129" s="21">
        <v>127</v>
      </c>
      <c r="C129" s="22">
        <f t="shared" si="4"/>
        <v>2032</v>
      </c>
      <c r="D129" s="23">
        <v>74.66</v>
      </c>
      <c r="E129" s="23">
        <v>74.66</v>
      </c>
      <c r="F129" s="23">
        <v>76.08</v>
      </c>
      <c r="G129" s="23">
        <v>81.22</v>
      </c>
      <c r="H129" s="23">
        <v>83.31</v>
      </c>
      <c r="I129" s="23">
        <v>94.31</v>
      </c>
      <c r="J129" s="23">
        <v>103.35</v>
      </c>
      <c r="K129" s="23">
        <v>115.71</v>
      </c>
      <c r="L129" s="4"/>
      <c r="M129" s="4"/>
      <c r="N129" s="21">
        <v>127</v>
      </c>
      <c r="O129" s="22">
        <f t="shared" si="5"/>
        <v>2032</v>
      </c>
      <c r="P129" s="23">
        <v>68.44</v>
      </c>
      <c r="Q129" s="23">
        <v>68.44</v>
      </c>
      <c r="R129" s="23">
        <v>69.74</v>
      </c>
      <c r="S129" s="23">
        <v>74.45</v>
      </c>
      <c r="T129" s="23">
        <v>76.37</v>
      </c>
      <c r="U129" s="23">
        <v>86.45</v>
      </c>
      <c r="V129" s="23">
        <v>94.74</v>
      </c>
      <c r="W129" s="23">
        <v>106.07</v>
      </c>
      <c r="X129" s="4"/>
      <c r="Y129" s="4"/>
      <c r="Z129" s="21">
        <v>127</v>
      </c>
      <c r="AA129" s="22">
        <f t="shared" si="6"/>
        <v>2032</v>
      </c>
      <c r="AB129" s="23">
        <v>62.21</v>
      </c>
      <c r="AC129" s="23">
        <v>62.21</v>
      </c>
      <c r="AD129" s="23">
        <v>63.4</v>
      </c>
      <c r="AE129" s="23">
        <v>67.68</v>
      </c>
      <c r="AF129" s="23">
        <v>69.42</v>
      </c>
      <c r="AG129" s="23">
        <v>78.59</v>
      </c>
      <c r="AH129" s="23">
        <v>86.12</v>
      </c>
      <c r="AI129" s="23">
        <v>96.42</v>
      </c>
      <c r="AJ129" s="5"/>
      <c r="AK129" s="5"/>
      <c r="AL129" s="21">
        <v>127</v>
      </c>
      <c r="AM129" s="22">
        <f t="shared" si="7"/>
        <v>2032</v>
      </c>
      <c r="AN129" s="23">
        <v>51.76</v>
      </c>
      <c r="AO129" s="23">
        <v>51.76</v>
      </c>
      <c r="AP129" s="23">
        <v>52.75</v>
      </c>
      <c r="AQ129" s="23">
        <v>56.31</v>
      </c>
      <c r="AR129" s="23">
        <v>57.75</v>
      </c>
      <c r="AS129" s="23">
        <v>65.38</v>
      </c>
      <c r="AT129" s="23">
        <v>71.65</v>
      </c>
      <c r="AU129" s="23">
        <v>80.22</v>
      </c>
    </row>
    <row r="130" ht="15.6" spans="2:47">
      <c r="B130" s="21">
        <v>128</v>
      </c>
      <c r="C130" s="22">
        <f t="shared" si="4"/>
        <v>2048</v>
      </c>
      <c r="D130" s="23">
        <v>75.29</v>
      </c>
      <c r="E130" s="23">
        <v>75.29</v>
      </c>
      <c r="F130" s="23">
        <v>76.1</v>
      </c>
      <c r="G130" s="23">
        <v>81.23</v>
      </c>
      <c r="H130" s="23">
        <v>83.48</v>
      </c>
      <c r="I130" s="23">
        <v>94.49</v>
      </c>
      <c r="J130" s="23">
        <v>103.56</v>
      </c>
      <c r="K130" s="23">
        <v>116.57</v>
      </c>
      <c r="L130" s="4"/>
      <c r="M130" s="4"/>
      <c r="N130" s="21">
        <v>128</v>
      </c>
      <c r="O130" s="22">
        <f t="shared" si="5"/>
        <v>2048</v>
      </c>
      <c r="P130" s="23">
        <v>69.02</v>
      </c>
      <c r="Q130" s="23">
        <v>69.02</v>
      </c>
      <c r="R130" s="23">
        <v>69.76</v>
      </c>
      <c r="S130" s="23">
        <v>74.46</v>
      </c>
      <c r="T130" s="23">
        <v>76.52</v>
      </c>
      <c r="U130" s="23">
        <v>86.62</v>
      </c>
      <c r="V130" s="23">
        <v>94.93</v>
      </c>
      <c r="W130" s="23">
        <v>106.86</v>
      </c>
      <c r="X130" s="4"/>
      <c r="Y130" s="4"/>
      <c r="Z130" s="21">
        <v>128</v>
      </c>
      <c r="AA130" s="22">
        <f t="shared" si="6"/>
        <v>2048</v>
      </c>
      <c r="AB130" s="23">
        <v>62.74</v>
      </c>
      <c r="AC130" s="23">
        <v>62.74</v>
      </c>
      <c r="AD130" s="23">
        <v>63.41</v>
      </c>
      <c r="AE130" s="23">
        <v>67.69</v>
      </c>
      <c r="AF130" s="23">
        <v>69.56</v>
      </c>
      <c r="AG130" s="23">
        <v>78.74</v>
      </c>
      <c r="AH130" s="23">
        <v>86.3</v>
      </c>
      <c r="AI130" s="23">
        <v>97.14</v>
      </c>
      <c r="AJ130" s="5"/>
      <c r="AK130" s="5"/>
      <c r="AL130" s="21">
        <v>128</v>
      </c>
      <c r="AM130" s="22">
        <f t="shared" si="7"/>
        <v>2048</v>
      </c>
      <c r="AN130" s="23">
        <v>52.21</v>
      </c>
      <c r="AO130" s="23">
        <v>52.21</v>
      </c>
      <c r="AP130" s="23">
        <v>52.76</v>
      </c>
      <c r="AQ130" s="23">
        <v>56.32</v>
      </c>
      <c r="AR130" s="23">
        <v>57.87</v>
      </c>
      <c r="AS130" s="23">
        <v>65.52</v>
      </c>
      <c r="AT130" s="23">
        <v>71.81</v>
      </c>
      <c r="AU130" s="23">
        <v>80.82</v>
      </c>
    </row>
    <row r="131" ht="15.6" spans="2:47">
      <c r="B131" s="21">
        <v>129</v>
      </c>
      <c r="C131" s="22">
        <f t="shared" ref="C131:C152" si="8">B131*16</f>
        <v>2064</v>
      </c>
      <c r="D131" s="23">
        <v>76.77</v>
      </c>
      <c r="E131" s="23">
        <v>76.77</v>
      </c>
      <c r="F131" s="23">
        <v>77.06</v>
      </c>
      <c r="G131" s="23">
        <v>81.26</v>
      </c>
      <c r="H131" s="23">
        <v>83.87</v>
      </c>
      <c r="I131" s="23">
        <v>94.5</v>
      </c>
      <c r="J131" s="23">
        <v>103.56</v>
      </c>
      <c r="K131" s="23">
        <v>117.46</v>
      </c>
      <c r="L131" s="4"/>
      <c r="M131" s="4"/>
      <c r="N131" s="21">
        <v>129</v>
      </c>
      <c r="O131" s="22">
        <f t="shared" ref="O131:O152" si="9">N131*16</f>
        <v>2064</v>
      </c>
      <c r="P131" s="23">
        <v>70.37</v>
      </c>
      <c r="Q131" s="23">
        <v>70.37</v>
      </c>
      <c r="R131" s="23">
        <v>70.64</v>
      </c>
      <c r="S131" s="23">
        <v>74.49</v>
      </c>
      <c r="T131" s="23">
        <v>76.88</v>
      </c>
      <c r="U131" s="23">
        <v>86.63</v>
      </c>
      <c r="V131" s="23">
        <v>94.93</v>
      </c>
      <c r="W131" s="23">
        <v>107.67</v>
      </c>
      <c r="X131" s="4"/>
      <c r="Y131" s="4"/>
      <c r="Z131" s="21">
        <v>129</v>
      </c>
      <c r="AA131" s="22">
        <f t="shared" ref="AA131:AA152" si="10">Z131*16</f>
        <v>2064</v>
      </c>
      <c r="AB131" s="23">
        <v>63.97</v>
      </c>
      <c r="AC131" s="23">
        <v>63.97</v>
      </c>
      <c r="AD131" s="23">
        <v>64.21</v>
      </c>
      <c r="AE131" s="23">
        <v>67.71</v>
      </c>
      <c r="AF131" s="23">
        <v>69.89</v>
      </c>
      <c r="AG131" s="23">
        <v>78.75</v>
      </c>
      <c r="AH131" s="23">
        <v>86.3</v>
      </c>
      <c r="AI131" s="23">
        <v>97.88</v>
      </c>
      <c r="AJ131" s="5"/>
      <c r="AK131" s="5"/>
      <c r="AL131" s="21">
        <v>129</v>
      </c>
      <c r="AM131" s="22">
        <f t="shared" ref="AM131:AM152" si="11">AL131*16</f>
        <v>2064</v>
      </c>
      <c r="AN131" s="23">
        <v>53.23</v>
      </c>
      <c r="AO131" s="23">
        <v>53.23</v>
      </c>
      <c r="AP131" s="23">
        <v>53.43</v>
      </c>
      <c r="AQ131" s="23">
        <v>56.33</v>
      </c>
      <c r="AR131" s="23">
        <v>58.16</v>
      </c>
      <c r="AS131" s="23">
        <v>65.53</v>
      </c>
      <c r="AT131" s="23">
        <v>71.81</v>
      </c>
      <c r="AU131" s="23">
        <v>81.43</v>
      </c>
    </row>
    <row r="132" ht="15.6" spans="2:47">
      <c r="B132" s="21">
        <v>130</v>
      </c>
      <c r="C132" s="22">
        <f t="shared" si="8"/>
        <v>2080</v>
      </c>
      <c r="D132" s="23">
        <v>77.01</v>
      </c>
      <c r="E132" s="23">
        <v>77.01</v>
      </c>
      <c r="F132" s="23">
        <v>77.09</v>
      </c>
      <c r="G132" s="23">
        <v>81.99</v>
      </c>
      <c r="H132" s="23">
        <v>84.04</v>
      </c>
      <c r="I132" s="23">
        <v>95.18</v>
      </c>
      <c r="J132" s="23">
        <v>104.92</v>
      </c>
      <c r="K132" s="23">
        <v>120.38</v>
      </c>
      <c r="L132" s="4"/>
      <c r="M132" s="4"/>
      <c r="N132" s="21">
        <v>130</v>
      </c>
      <c r="O132" s="22">
        <f t="shared" si="9"/>
        <v>2080</v>
      </c>
      <c r="P132" s="23">
        <v>70.59</v>
      </c>
      <c r="Q132" s="23">
        <v>70.59</v>
      </c>
      <c r="R132" s="23">
        <v>70.67</v>
      </c>
      <c r="S132" s="23">
        <v>75.16</v>
      </c>
      <c r="T132" s="23">
        <v>77.04</v>
      </c>
      <c r="U132" s="23">
        <v>87.25</v>
      </c>
      <c r="V132" s="23">
        <v>96.18</v>
      </c>
      <c r="W132" s="23">
        <v>110.35</v>
      </c>
      <c r="X132" s="4"/>
      <c r="Y132" s="4"/>
      <c r="Z132" s="21">
        <v>130</v>
      </c>
      <c r="AA132" s="22">
        <f t="shared" si="10"/>
        <v>2080</v>
      </c>
      <c r="AB132" s="23">
        <v>64.17</v>
      </c>
      <c r="AC132" s="23">
        <v>64.17</v>
      </c>
      <c r="AD132" s="23">
        <v>64.24</v>
      </c>
      <c r="AE132" s="23">
        <v>68.32</v>
      </c>
      <c r="AF132" s="23">
        <v>70.03</v>
      </c>
      <c r="AG132" s="23">
        <v>79.31</v>
      </c>
      <c r="AH132" s="23">
        <v>87.43</v>
      </c>
      <c r="AI132" s="23">
        <v>100.31</v>
      </c>
      <c r="AJ132" s="5"/>
      <c r="AK132" s="5"/>
      <c r="AL132" s="21">
        <v>130</v>
      </c>
      <c r="AM132" s="22">
        <f t="shared" si="11"/>
        <v>2080</v>
      </c>
      <c r="AN132" s="23">
        <v>53.38</v>
      </c>
      <c r="AO132" s="23">
        <v>53.38</v>
      </c>
      <c r="AP132" s="23">
        <v>53.45</v>
      </c>
      <c r="AQ132" s="23">
        <v>56.85</v>
      </c>
      <c r="AR132" s="23">
        <v>58.27</v>
      </c>
      <c r="AS132" s="23">
        <v>65.99</v>
      </c>
      <c r="AT132" s="23">
        <v>72.74</v>
      </c>
      <c r="AU132" s="23">
        <v>83.47</v>
      </c>
    </row>
    <row r="133" ht="15.6" spans="2:47">
      <c r="B133" s="21">
        <v>131</v>
      </c>
      <c r="C133" s="22">
        <f t="shared" si="8"/>
        <v>2096</v>
      </c>
      <c r="D133" s="23">
        <v>77.44</v>
      </c>
      <c r="E133" s="23">
        <v>77.44</v>
      </c>
      <c r="F133" s="23">
        <v>78.29</v>
      </c>
      <c r="G133" s="23">
        <v>83.82</v>
      </c>
      <c r="H133" s="23">
        <v>85.42</v>
      </c>
      <c r="I133" s="23">
        <v>96.59</v>
      </c>
      <c r="J133" s="23">
        <v>105.71</v>
      </c>
      <c r="K133" s="23">
        <v>120.7</v>
      </c>
      <c r="L133" s="4"/>
      <c r="M133" s="4"/>
      <c r="N133" s="21">
        <v>131</v>
      </c>
      <c r="O133" s="22">
        <f t="shared" si="9"/>
        <v>2096</v>
      </c>
      <c r="P133" s="23">
        <v>70.99</v>
      </c>
      <c r="Q133" s="23">
        <v>70.99</v>
      </c>
      <c r="R133" s="23">
        <v>71.77</v>
      </c>
      <c r="S133" s="23">
        <v>76.84</v>
      </c>
      <c r="T133" s="23">
        <v>78.3</v>
      </c>
      <c r="U133" s="23">
        <v>88.54</v>
      </c>
      <c r="V133" s="23">
        <v>96.9</v>
      </c>
      <c r="W133" s="23">
        <v>110.64</v>
      </c>
      <c r="X133" s="4"/>
      <c r="Y133" s="4"/>
      <c r="Z133" s="21">
        <v>131</v>
      </c>
      <c r="AA133" s="22">
        <f t="shared" si="10"/>
        <v>2096</v>
      </c>
      <c r="AB133" s="23">
        <v>64.53</v>
      </c>
      <c r="AC133" s="23">
        <v>64.53</v>
      </c>
      <c r="AD133" s="23">
        <v>65.24</v>
      </c>
      <c r="AE133" s="23">
        <v>69.85</v>
      </c>
      <c r="AF133" s="23">
        <v>71.18</v>
      </c>
      <c r="AG133" s="23">
        <v>80.49</v>
      </c>
      <c r="AH133" s="23">
        <v>88.09</v>
      </c>
      <c r="AI133" s="23">
        <v>100.58</v>
      </c>
      <c r="AJ133" s="5"/>
      <c r="AK133" s="5"/>
      <c r="AL133" s="21">
        <v>131</v>
      </c>
      <c r="AM133" s="22">
        <f t="shared" si="11"/>
        <v>2096</v>
      </c>
      <c r="AN133" s="23">
        <v>53.69</v>
      </c>
      <c r="AO133" s="23">
        <v>53.69</v>
      </c>
      <c r="AP133" s="23">
        <v>54.29</v>
      </c>
      <c r="AQ133" s="23">
        <v>58.11</v>
      </c>
      <c r="AR133" s="23">
        <v>59.22</v>
      </c>
      <c r="AS133" s="23">
        <v>66.97</v>
      </c>
      <c r="AT133" s="23">
        <v>73.29</v>
      </c>
      <c r="AU133" s="23">
        <v>83.68</v>
      </c>
    </row>
    <row r="134" ht="15.6" spans="2:47">
      <c r="B134" s="21">
        <v>132</v>
      </c>
      <c r="C134" s="22">
        <f t="shared" si="8"/>
        <v>2112</v>
      </c>
      <c r="D134" s="23">
        <v>78.96</v>
      </c>
      <c r="E134" s="23">
        <v>78.96</v>
      </c>
      <c r="F134" s="23">
        <v>79.07</v>
      </c>
      <c r="G134" s="23">
        <v>84.34</v>
      </c>
      <c r="H134" s="23">
        <v>86</v>
      </c>
      <c r="I134" s="23">
        <v>96.59</v>
      </c>
      <c r="J134" s="23">
        <v>105.74</v>
      </c>
      <c r="K134" s="23">
        <v>120.7</v>
      </c>
      <c r="L134" s="4"/>
      <c r="M134" s="4"/>
      <c r="N134" s="21">
        <v>132</v>
      </c>
      <c r="O134" s="22">
        <f t="shared" si="9"/>
        <v>2112</v>
      </c>
      <c r="P134" s="23">
        <v>72.38</v>
      </c>
      <c r="Q134" s="23">
        <v>72.38</v>
      </c>
      <c r="R134" s="23">
        <v>72.48</v>
      </c>
      <c r="S134" s="23">
        <v>77.31</v>
      </c>
      <c r="T134" s="23">
        <v>78.83</v>
      </c>
      <c r="U134" s="23">
        <v>88.54</v>
      </c>
      <c r="V134" s="23">
        <v>96.93</v>
      </c>
      <c r="W134" s="23">
        <v>110.64</v>
      </c>
      <c r="X134" s="4"/>
      <c r="Y134" s="4"/>
      <c r="Z134" s="21">
        <v>132</v>
      </c>
      <c r="AA134" s="22">
        <f t="shared" si="10"/>
        <v>2112</v>
      </c>
      <c r="AB134" s="23">
        <v>65.8</v>
      </c>
      <c r="AC134" s="23">
        <v>65.8</v>
      </c>
      <c r="AD134" s="23">
        <v>65.89</v>
      </c>
      <c r="AE134" s="23">
        <v>70.28</v>
      </c>
      <c r="AF134" s="23">
        <v>71.66</v>
      </c>
      <c r="AG134" s="23">
        <v>80.49</v>
      </c>
      <c r="AH134" s="23">
        <v>88.11</v>
      </c>
      <c r="AI134" s="23">
        <v>100.58</v>
      </c>
      <c r="AJ134" s="5"/>
      <c r="AK134" s="5"/>
      <c r="AL134" s="21">
        <v>132</v>
      </c>
      <c r="AM134" s="22">
        <f t="shared" si="11"/>
        <v>2112</v>
      </c>
      <c r="AN134" s="23">
        <v>54.75</v>
      </c>
      <c r="AO134" s="23">
        <v>54.75</v>
      </c>
      <c r="AP134" s="23">
        <v>54.82</v>
      </c>
      <c r="AQ134" s="23">
        <v>58.49</v>
      </c>
      <c r="AR134" s="23">
        <v>59.62</v>
      </c>
      <c r="AS134" s="23">
        <v>66.97</v>
      </c>
      <c r="AT134" s="23">
        <v>73.3</v>
      </c>
      <c r="AU134" s="23">
        <v>83.69</v>
      </c>
    </row>
    <row r="135" ht="15.6" spans="2:47">
      <c r="B135" s="21">
        <v>133</v>
      </c>
      <c r="C135" s="22">
        <f t="shared" si="8"/>
        <v>2128</v>
      </c>
      <c r="D135" s="23">
        <v>78.96</v>
      </c>
      <c r="E135" s="23">
        <v>78.96</v>
      </c>
      <c r="F135" s="23">
        <v>79.95</v>
      </c>
      <c r="G135" s="23">
        <v>84.36</v>
      </c>
      <c r="H135" s="23">
        <v>86</v>
      </c>
      <c r="I135" s="23">
        <v>97.1</v>
      </c>
      <c r="J135" s="23">
        <v>105.93</v>
      </c>
      <c r="K135" s="23">
        <v>120.71</v>
      </c>
      <c r="L135" s="4"/>
      <c r="M135" s="4"/>
      <c r="N135" s="21">
        <v>133</v>
      </c>
      <c r="O135" s="22">
        <f t="shared" si="9"/>
        <v>2128</v>
      </c>
      <c r="P135" s="23">
        <v>72.38</v>
      </c>
      <c r="Q135" s="23">
        <v>72.38</v>
      </c>
      <c r="R135" s="23">
        <v>73.29</v>
      </c>
      <c r="S135" s="23">
        <v>77.33</v>
      </c>
      <c r="T135" s="23">
        <v>78.83</v>
      </c>
      <c r="U135" s="23">
        <v>89.01</v>
      </c>
      <c r="V135" s="23">
        <v>97.1</v>
      </c>
      <c r="W135" s="23">
        <v>110.65</v>
      </c>
      <c r="X135" s="4"/>
      <c r="Y135" s="4"/>
      <c r="Z135" s="21">
        <v>133</v>
      </c>
      <c r="AA135" s="22">
        <f t="shared" si="10"/>
        <v>2128</v>
      </c>
      <c r="AB135" s="23">
        <v>65.8</v>
      </c>
      <c r="AC135" s="23">
        <v>65.8</v>
      </c>
      <c r="AD135" s="23">
        <v>66.62</v>
      </c>
      <c r="AE135" s="23">
        <v>70.3</v>
      </c>
      <c r="AF135" s="23">
        <v>71.66</v>
      </c>
      <c r="AG135" s="23">
        <v>80.91</v>
      </c>
      <c r="AH135" s="23">
        <v>88.27</v>
      </c>
      <c r="AI135" s="23">
        <v>100.59</v>
      </c>
      <c r="AJ135" s="5"/>
      <c r="AK135" s="5"/>
      <c r="AL135" s="21">
        <v>133</v>
      </c>
      <c r="AM135" s="22">
        <f t="shared" si="11"/>
        <v>2128</v>
      </c>
      <c r="AN135" s="23">
        <v>54.76</v>
      </c>
      <c r="AO135" s="23">
        <v>54.76</v>
      </c>
      <c r="AP135" s="23">
        <v>55.43</v>
      </c>
      <c r="AQ135" s="23">
        <v>58.49</v>
      </c>
      <c r="AR135" s="23">
        <v>59.62</v>
      </c>
      <c r="AS135" s="23">
        <v>67.32</v>
      </c>
      <c r="AT135" s="23">
        <v>73.45</v>
      </c>
      <c r="AU135" s="23">
        <v>83.7</v>
      </c>
    </row>
    <row r="136" ht="15.6" spans="2:47">
      <c r="B136" s="21">
        <v>134</v>
      </c>
      <c r="C136" s="22">
        <f t="shared" si="8"/>
        <v>2144</v>
      </c>
      <c r="D136" s="23">
        <v>80.31</v>
      </c>
      <c r="E136" s="23">
        <v>80.31</v>
      </c>
      <c r="F136" s="23">
        <v>80.5</v>
      </c>
      <c r="G136" s="23">
        <v>85.16</v>
      </c>
      <c r="H136" s="23">
        <v>87.36</v>
      </c>
      <c r="I136" s="23">
        <v>98.57</v>
      </c>
      <c r="J136" s="23">
        <v>107.46</v>
      </c>
      <c r="K136" s="23">
        <v>120.71</v>
      </c>
      <c r="L136" s="4"/>
      <c r="M136" s="4"/>
      <c r="N136" s="21">
        <v>134</v>
      </c>
      <c r="O136" s="22">
        <f t="shared" si="9"/>
        <v>2144</v>
      </c>
      <c r="P136" s="23">
        <v>73.62</v>
      </c>
      <c r="Q136" s="23">
        <v>73.62</v>
      </c>
      <c r="R136" s="23">
        <v>73.79</v>
      </c>
      <c r="S136" s="23">
        <v>78.06</v>
      </c>
      <c r="T136" s="23">
        <v>80.08</v>
      </c>
      <c r="U136" s="23">
        <v>90.36</v>
      </c>
      <c r="V136" s="23">
        <v>98.51</v>
      </c>
      <c r="W136" s="23">
        <v>110.65</v>
      </c>
      <c r="X136" s="4"/>
      <c r="Y136" s="4"/>
      <c r="Z136" s="21">
        <v>134</v>
      </c>
      <c r="AA136" s="22">
        <f t="shared" si="10"/>
        <v>2144</v>
      </c>
      <c r="AB136" s="23">
        <v>66.92</v>
      </c>
      <c r="AC136" s="23">
        <v>66.92</v>
      </c>
      <c r="AD136" s="23">
        <v>67.08</v>
      </c>
      <c r="AE136" s="23">
        <v>70.96</v>
      </c>
      <c r="AF136" s="23">
        <v>72.8</v>
      </c>
      <c r="AG136" s="23">
        <v>82.14</v>
      </c>
      <c r="AH136" s="23">
        <v>89.55</v>
      </c>
      <c r="AI136" s="23">
        <v>100.59</v>
      </c>
      <c r="AJ136" s="5"/>
      <c r="AK136" s="5"/>
      <c r="AL136" s="21">
        <v>134</v>
      </c>
      <c r="AM136" s="22">
        <f t="shared" si="11"/>
        <v>2144</v>
      </c>
      <c r="AN136" s="23">
        <v>55.67</v>
      </c>
      <c r="AO136" s="23">
        <v>55.67</v>
      </c>
      <c r="AP136" s="23">
        <v>55.8</v>
      </c>
      <c r="AQ136" s="23">
        <v>59.04</v>
      </c>
      <c r="AR136" s="23">
        <v>60.57</v>
      </c>
      <c r="AS136" s="23">
        <v>68.34</v>
      </c>
      <c r="AT136" s="23">
        <v>74.5</v>
      </c>
      <c r="AU136" s="23">
        <v>83.7</v>
      </c>
    </row>
    <row r="137" ht="15.6" spans="2:47">
      <c r="B137" s="21">
        <v>135</v>
      </c>
      <c r="C137" s="22">
        <f t="shared" si="8"/>
        <v>2160</v>
      </c>
      <c r="D137" s="23">
        <v>81.06</v>
      </c>
      <c r="E137" s="23">
        <v>81.06</v>
      </c>
      <c r="F137" s="23">
        <v>82.13</v>
      </c>
      <c r="G137" s="23">
        <v>86.78</v>
      </c>
      <c r="H137" s="23">
        <v>88.94</v>
      </c>
      <c r="I137" s="23">
        <v>99.99</v>
      </c>
      <c r="J137" s="23">
        <v>108.23</v>
      </c>
      <c r="K137" s="23">
        <v>121.55</v>
      </c>
      <c r="L137" s="4"/>
      <c r="M137" s="4"/>
      <c r="N137" s="21">
        <v>135</v>
      </c>
      <c r="O137" s="22">
        <f t="shared" si="9"/>
        <v>2160</v>
      </c>
      <c r="P137" s="23">
        <v>74.31</v>
      </c>
      <c r="Q137" s="23">
        <v>74.31</v>
      </c>
      <c r="R137" s="23">
        <v>75.29</v>
      </c>
      <c r="S137" s="23">
        <v>79.55</v>
      </c>
      <c r="T137" s="23">
        <v>81.53</v>
      </c>
      <c r="U137" s="23">
        <v>91.66</v>
      </c>
      <c r="V137" s="23">
        <v>99.21</v>
      </c>
      <c r="W137" s="23">
        <v>111.42</v>
      </c>
      <c r="X137" s="4"/>
      <c r="Y137" s="4"/>
      <c r="Z137" s="21">
        <v>135</v>
      </c>
      <c r="AA137" s="22">
        <f t="shared" si="10"/>
        <v>2160</v>
      </c>
      <c r="AB137" s="23">
        <v>67.55</v>
      </c>
      <c r="AC137" s="23">
        <v>67.55</v>
      </c>
      <c r="AD137" s="23">
        <v>68.44</v>
      </c>
      <c r="AE137" s="23">
        <v>72.31</v>
      </c>
      <c r="AF137" s="23">
        <v>74.11</v>
      </c>
      <c r="AG137" s="23">
        <v>83.32</v>
      </c>
      <c r="AH137" s="23">
        <v>90.19</v>
      </c>
      <c r="AI137" s="23">
        <v>101.29</v>
      </c>
      <c r="AJ137" s="5"/>
      <c r="AK137" s="5"/>
      <c r="AL137" s="21">
        <v>135</v>
      </c>
      <c r="AM137" s="22">
        <f t="shared" si="11"/>
        <v>2160</v>
      </c>
      <c r="AN137" s="23">
        <v>56.2</v>
      </c>
      <c r="AO137" s="23">
        <v>56.2</v>
      </c>
      <c r="AP137" s="23">
        <v>56.95</v>
      </c>
      <c r="AQ137" s="23">
        <v>60.16</v>
      </c>
      <c r="AR137" s="23">
        <v>61.66</v>
      </c>
      <c r="AS137" s="23">
        <v>69.32</v>
      </c>
      <c r="AT137" s="23">
        <v>75.04</v>
      </c>
      <c r="AU137" s="23">
        <v>84.28</v>
      </c>
    </row>
    <row r="138" ht="15.6" spans="2:47">
      <c r="B138" s="21">
        <v>136</v>
      </c>
      <c r="C138" s="22">
        <f t="shared" si="8"/>
        <v>2176</v>
      </c>
      <c r="D138" s="23">
        <v>81.65</v>
      </c>
      <c r="E138" s="23">
        <v>81.65</v>
      </c>
      <c r="F138" s="23">
        <v>82.35</v>
      </c>
      <c r="G138" s="23">
        <v>88.18</v>
      </c>
      <c r="H138" s="23">
        <v>89.69</v>
      </c>
      <c r="I138" s="23">
        <v>100</v>
      </c>
      <c r="J138" s="23">
        <v>109.74</v>
      </c>
      <c r="K138" s="23">
        <v>122.14</v>
      </c>
      <c r="L138" s="4"/>
      <c r="M138" s="4"/>
      <c r="N138" s="21">
        <v>136</v>
      </c>
      <c r="O138" s="22">
        <f t="shared" si="9"/>
        <v>2176</v>
      </c>
      <c r="P138" s="23">
        <v>74.85</v>
      </c>
      <c r="Q138" s="23">
        <v>74.85</v>
      </c>
      <c r="R138" s="23">
        <v>75.49</v>
      </c>
      <c r="S138" s="23">
        <v>80.83</v>
      </c>
      <c r="T138" s="23">
        <v>82.22</v>
      </c>
      <c r="U138" s="23">
        <v>91.67</v>
      </c>
      <c r="V138" s="23">
        <v>100.6</v>
      </c>
      <c r="W138" s="23">
        <v>111.96</v>
      </c>
      <c r="X138" s="4"/>
      <c r="Y138" s="4"/>
      <c r="Z138" s="21">
        <v>136</v>
      </c>
      <c r="AA138" s="22">
        <f t="shared" si="10"/>
        <v>2176</v>
      </c>
      <c r="AB138" s="23">
        <v>68.04</v>
      </c>
      <c r="AC138" s="23">
        <v>68.04</v>
      </c>
      <c r="AD138" s="23">
        <v>68.62</v>
      </c>
      <c r="AE138" s="23">
        <v>73.48</v>
      </c>
      <c r="AF138" s="23">
        <v>74.74</v>
      </c>
      <c r="AG138" s="23">
        <v>83.33</v>
      </c>
      <c r="AH138" s="23">
        <v>91.45</v>
      </c>
      <c r="AI138" s="23">
        <v>101.78</v>
      </c>
      <c r="AJ138" s="5"/>
      <c r="AK138" s="5"/>
      <c r="AL138" s="21">
        <v>136</v>
      </c>
      <c r="AM138" s="22">
        <f t="shared" si="11"/>
        <v>2176</v>
      </c>
      <c r="AN138" s="23">
        <v>56.62</v>
      </c>
      <c r="AO138" s="23">
        <v>56.62</v>
      </c>
      <c r="AP138" s="23">
        <v>57.09</v>
      </c>
      <c r="AQ138" s="23">
        <v>61.14</v>
      </c>
      <c r="AR138" s="23">
        <v>62.18</v>
      </c>
      <c r="AS138" s="23">
        <v>69.33</v>
      </c>
      <c r="AT138" s="23">
        <v>76.09</v>
      </c>
      <c r="AU138" s="23">
        <v>84.69</v>
      </c>
    </row>
    <row r="139" ht="15.6" spans="2:47">
      <c r="B139" s="21">
        <v>137</v>
      </c>
      <c r="C139" s="22">
        <f t="shared" si="8"/>
        <v>2192</v>
      </c>
      <c r="D139" s="23">
        <v>81.68</v>
      </c>
      <c r="E139" s="23">
        <v>81.68</v>
      </c>
      <c r="F139" s="23">
        <v>82.35</v>
      </c>
      <c r="G139" s="23">
        <v>89.67</v>
      </c>
      <c r="H139" s="23">
        <v>90.53</v>
      </c>
      <c r="I139" s="23">
        <v>100</v>
      </c>
      <c r="J139" s="23">
        <v>109.94</v>
      </c>
      <c r="K139" s="23">
        <v>122.39</v>
      </c>
      <c r="L139" s="4"/>
      <c r="M139" s="4"/>
      <c r="N139" s="21">
        <v>137</v>
      </c>
      <c r="O139" s="22">
        <f t="shared" si="9"/>
        <v>2192</v>
      </c>
      <c r="P139" s="23">
        <v>74.87</v>
      </c>
      <c r="Q139" s="23">
        <v>74.87</v>
      </c>
      <c r="R139" s="23">
        <v>75.49</v>
      </c>
      <c r="S139" s="23">
        <v>82.2</v>
      </c>
      <c r="T139" s="23">
        <v>82.99</v>
      </c>
      <c r="U139" s="23">
        <v>91.67</v>
      </c>
      <c r="V139" s="23">
        <v>100.78</v>
      </c>
      <c r="W139" s="23">
        <v>112.19</v>
      </c>
      <c r="X139" s="4"/>
      <c r="Y139" s="4"/>
      <c r="Z139" s="21">
        <v>137</v>
      </c>
      <c r="AA139" s="22">
        <f t="shared" si="10"/>
        <v>2192</v>
      </c>
      <c r="AB139" s="23">
        <v>68.06</v>
      </c>
      <c r="AC139" s="23">
        <v>68.06</v>
      </c>
      <c r="AD139" s="23">
        <v>68.62</v>
      </c>
      <c r="AE139" s="23">
        <v>74.72</v>
      </c>
      <c r="AF139" s="23">
        <v>75.44</v>
      </c>
      <c r="AG139" s="23">
        <v>83.33</v>
      </c>
      <c r="AH139" s="23">
        <v>91.61</v>
      </c>
      <c r="AI139" s="23">
        <v>101.99</v>
      </c>
      <c r="AJ139" s="5"/>
      <c r="AK139" s="5"/>
      <c r="AL139" s="21">
        <v>137</v>
      </c>
      <c r="AM139" s="22">
        <f t="shared" si="11"/>
        <v>2192</v>
      </c>
      <c r="AN139" s="23">
        <v>56.63</v>
      </c>
      <c r="AO139" s="23">
        <v>56.63</v>
      </c>
      <c r="AP139" s="23">
        <v>57.09</v>
      </c>
      <c r="AQ139" s="23">
        <v>62.17</v>
      </c>
      <c r="AR139" s="23">
        <v>62.77</v>
      </c>
      <c r="AS139" s="23">
        <v>69.33</v>
      </c>
      <c r="AT139" s="23">
        <v>76.22</v>
      </c>
      <c r="AU139" s="23">
        <v>84.87</v>
      </c>
    </row>
    <row r="140" ht="15.6" spans="2:47">
      <c r="B140" s="21">
        <v>138</v>
      </c>
      <c r="C140" s="22">
        <f t="shared" si="8"/>
        <v>2208</v>
      </c>
      <c r="D140" s="23">
        <v>83.19</v>
      </c>
      <c r="E140" s="23">
        <v>83.19</v>
      </c>
      <c r="F140" s="23">
        <v>84.42</v>
      </c>
      <c r="G140" s="23">
        <v>90.11</v>
      </c>
      <c r="H140" s="23">
        <v>91.26</v>
      </c>
      <c r="I140" s="23">
        <v>102.05</v>
      </c>
      <c r="J140" s="23">
        <v>110.86</v>
      </c>
      <c r="K140" s="23">
        <v>125.75</v>
      </c>
      <c r="L140" s="4"/>
      <c r="M140" s="4"/>
      <c r="N140" s="21">
        <v>138</v>
      </c>
      <c r="O140" s="22">
        <f t="shared" si="9"/>
        <v>2208</v>
      </c>
      <c r="P140" s="23">
        <v>76.26</v>
      </c>
      <c r="Q140" s="23">
        <v>76.26</v>
      </c>
      <c r="R140" s="23">
        <v>77.39</v>
      </c>
      <c r="S140" s="23">
        <v>82.6</v>
      </c>
      <c r="T140" s="23">
        <v>83.66</v>
      </c>
      <c r="U140" s="23">
        <v>93.55</v>
      </c>
      <c r="V140" s="23">
        <v>101.62</v>
      </c>
      <c r="W140" s="23">
        <v>115.27</v>
      </c>
      <c r="X140" s="4"/>
      <c r="Y140" s="4"/>
      <c r="Z140" s="21">
        <v>138</v>
      </c>
      <c r="AA140" s="22">
        <f t="shared" si="10"/>
        <v>2208</v>
      </c>
      <c r="AB140" s="23">
        <v>69.32</v>
      </c>
      <c r="AC140" s="23">
        <v>69.32</v>
      </c>
      <c r="AD140" s="23">
        <v>70.35</v>
      </c>
      <c r="AE140" s="23">
        <v>75.09</v>
      </c>
      <c r="AF140" s="23">
        <v>76.05</v>
      </c>
      <c r="AG140" s="23">
        <v>85.04</v>
      </c>
      <c r="AH140" s="23">
        <v>92.38</v>
      </c>
      <c r="AI140" s="23">
        <v>104.79</v>
      </c>
      <c r="AJ140" s="5"/>
      <c r="AK140" s="5"/>
      <c r="AL140" s="21">
        <v>138</v>
      </c>
      <c r="AM140" s="22">
        <f t="shared" si="11"/>
        <v>2208</v>
      </c>
      <c r="AN140" s="23">
        <v>57.67</v>
      </c>
      <c r="AO140" s="23">
        <v>57.67</v>
      </c>
      <c r="AP140" s="23">
        <v>58.54</v>
      </c>
      <c r="AQ140" s="23">
        <v>62.47</v>
      </c>
      <c r="AR140" s="23">
        <v>63.28</v>
      </c>
      <c r="AS140" s="23">
        <v>70.76</v>
      </c>
      <c r="AT140" s="23">
        <v>76.87</v>
      </c>
      <c r="AU140" s="23">
        <v>87.2</v>
      </c>
    </row>
    <row r="141" ht="15.6" spans="2:47">
      <c r="B141" s="21">
        <v>139</v>
      </c>
      <c r="C141" s="22">
        <f t="shared" si="8"/>
        <v>2224</v>
      </c>
      <c r="D141" s="23">
        <v>84.68</v>
      </c>
      <c r="E141" s="23">
        <v>84.68</v>
      </c>
      <c r="F141" s="23">
        <v>84.75</v>
      </c>
      <c r="G141" s="23">
        <v>90.12</v>
      </c>
      <c r="H141" s="23">
        <v>91.29</v>
      </c>
      <c r="I141" s="23">
        <v>102.06</v>
      </c>
      <c r="J141" s="23">
        <v>112.68</v>
      </c>
      <c r="K141" s="23">
        <v>126.7</v>
      </c>
      <c r="L141" s="4"/>
      <c r="M141" s="4"/>
      <c r="N141" s="21">
        <v>139</v>
      </c>
      <c r="O141" s="22">
        <f t="shared" si="9"/>
        <v>2224</v>
      </c>
      <c r="P141" s="23">
        <v>77.62</v>
      </c>
      <c r="Q141" s="23">
        <v>77.62</v>
      </c>
      <c r="R141" s="23">
        <v>77.69</v>
      </c>
      <c r="S141" s="23">
        <v>82.61</v>
      </c>
      <c r="T141" s="23">
        <v>83.68</v>
      </c>
      <c r="U141" s="23">
        <v>93.56</v>
      </c>
      <c r="V141" s="23">
        <v>103.29</v>
      </c>
      <c r="W141" s="23">
        <v>116.14</v>
      </c>
      <c r="X141" s="4"/>
      <c r="Y141" s="4"/>
      <c r="Z141" s="21">
        <v>139</v>
      </c>
      <c r="AA141" s="22">
        <f t="shared" si="10"/>
        <v>2224</v>
      </c>
      <c r="AB141" s="23">
        <v>70.56</v>
      </c>
      <c r="AC141" s="23">
        <v>70.56</v>
      </c>
      <c r="AD141" s="23">
        <v>70.62</v>
      </c>
      <c r="AE141" s="23">
        <v>75.1</v>
      </c>
      <c r="AF141" s="23">
        <v>76.07</v>
      </c>
      <c r="AG141" s="23">
        <v>85.05</v>
      </c>
      <c r="AH141" s="23">
        <v>93.9</v>
      </c>
      <c r="AI141" s="23">
        <v>105.58</v>
      </c>
      <c r="AJ141" s="5"/>
      <c r="AK141" s="5"/>
      <c r="AL141" s="21">
        <v>139</v>
      </c>
      <c r="AM141" s="22">
        <f t="shared" si="11"/>
        <v>2224</v>
      </c>
      <c r="AN141" s="23">
        <v>58.71</v>
      </c>
      <c r="AO141" s="23">
        <v>58.71</v>
      </c>
      <c r="AP141" s="23">
        <v>58.76</v>
      </c>
      <c r="AQ141" s="23">
        <v>62.49</v>
      </c>
      <c r="AR141" s="23">
        <v>63.29</v>
      </c>
      <c r="AS141" s="23">
        <v>70.76</v>
      </c>
      <c r="AT141" s="23">
        <v>78.13</v>
      </c>
      <c r="AU141" s="23">
        <v>87.85</v>
      </c>
    </row>
    <row r="142" ht="15.6" spans="2:47">
      <c r="B142" s="21">
        <v>140</v>
      </c>
      <c r="C142" s="22">
        <f t="shared" si="8"/>
        <v>2240</v>
      </c>
      <c r="D142" s="23">
        <v>85.43</v>
      </c>
      <c r="E142" s="23">
        <v>85.43</v>
      </c>
      <c r="F142" s="23">
        <v>86.09</v>
      </c>
      <c r="G142" s="23">
        <v>91.01</v>
      </c>
      <c r="H142" s="23">
        <v>92.55</v>
      </c>
      <c r="I142" s="23">
        <v>102.96</v>
      </c>
      <c r="J142" s="23">
        <v>112.71</v>
      </c>
      <c r="K142" s="23">
        <v>126.71</v>
      </c>
      <c r="L142" s="4"/>
      <c r="M142" s="4"/>
      <c r="N142" s="21">
        <v>140</v>
      </c>
      <c r="O142" s="22">
        <f t="shared" si="9"/>
        <v>2240</v>
      </c>
      <c r="P142" s="23">
        <v>78.31</v>
      </c>
      <c r="Q142" s="23">
        <v>78.31</v>
      </c>
      <c r="R142" s="23">
        <v>78.92</v>
      </c>
      <c r="S142" s="23">
        <v>83.43</v>
      </c>
      <c r="T142" s="23">
        <v>84.84</v>
      </c>
      <c r="U142" s="23">
        <v>94.38</v>
      </c>
      <c r="V142" s="23">
        <v>103.32</v>
      </c>
      <c r="W142" s="23">
        <v>116.15</v>
      </c>
      <c r="X142" s="4"/>
      <c r="Y142" s="4"/>
      <c r="Z142" s="21">
        <v>140</v>
      </c>
      <c r="AA142" s="22">
        <f t="shared" si="10"/>
        <v>2240</v>
      </c>
      <c r="AB142" s="23">
        <v>71.19</v>
      </c>
      <c r="AC142" s="23">
        <v>71.19</v>
      </c>
      <c r="AD142" s="23">
        <v>71.74</v>
      </c>
      <c r="AE142" s="23">
        <v>75.84</v>
      </c>
      <c r="AF142" s="23">
        <v>77.12</v>
      </c>
      <c r="AG142" s="23">
        <v>85.8</v>
      </c>
      <c r="AH142" s="23">
        <v>93.92</v>
      </c>
      <c r="AI142" s="23">
        <v>105.59</v>
      </c>
      <c r="AJ142" s="5"/>
      <c r="AK142" s="5"/>
      <c r="AL142" s="21">
        <v>140</v>
      </c>
      <c r="AM142" s="22">
        <f t="shared" si="11"/>
        <v>2240</v>
      </c>
      <c r="AN142" s="23">
        <v>59.24</v>
      </c>
      <c r="AO142" s="23">
        <v>59.24</v>
      </c>
      <c r="AP142" s="23">
        <v>59.7</v>
      </c>
      <c r="AQ142" s="23">
        <v>63.11</v>
      </c>
      <c r="AR142" s="23">
        <v>64.16</v>
      </c>
      <c r="AS142" s="23">
        <v>71.38</v>
      </c>
      <c r="AT142" s="23">
        <v>78.14</v>
      </c>
      <c r="AU142" s="23">
        <v>87.86</v>
      </c>
    </row>
    <row r="143" ht="15.6" spans="2:47">
      <c r="B143" s="21">
        <v>141</v>
      </c>
      <c r="C143" s="22">
        <f t="shared" si="8"/>
        <v>2256</v>
      </c>
      <c r="D143" s="23">
        <v>85.43</v>
      </c>
      <c r="E143" s="23">
        <v>85.43</v>
      </c>
      <c r="F143" s="23">
        <v>86.1</v>
      </c>
      <c r="G143" s="23">
        <v>91.8</v>
      </c>
      <c r="H143" s="23">
        <v>92.73</v>
      </c>
      <c r="I143" s="23">
        <v>103.16</v>
      </c>
      <c r="J143" s="23">
        <v>112.94</v>
      </c>
      <c r="K143" s="23">
        <v>126.71</v>
      </c>
      <c r="L143" s="4"/>
      <c r="M143" s="4"/>
      <c r="N143" s="21">
        <v>141</v>
      </c>
      <c r="O143" s="22">
        <f t="shared" si="9"/>
        <v>2256</v>
      </c>
      <c r="P143" s="23">
        <v>78.31</v>
      </c>
      <c r="Q143" s="23">
        <v>78.31</v>
      </c>
      <c r="R143" s="23">
        <v>78.93</v>
      </c>
      <c r="S143" s="23">
        <v>84.15</v>
      </c>
      <c r="T143" s="23">
        <v>85</v>
      </c>
      <c r="U143" s="23">
        <v>94.56</v>
      </c>
      <c r="V143" s="23">
        <v>103.53</v>
      </c>
      <c r="W143" s="23">
        <v>116.15</v>
      </c>
      <c r="X143" s="4"/>
      <c r="Y143" s="4"/>
      <c r="Z143" s="21">
        <v>141</v>
      </c>
      <c r="AA143" s="22">
        <f t="shared" si="10"/>
        <v>2256</v>
      </c>
      <c r="AB143" s="23">
        <v>71.19</v>
      </c>
      <c r="AC143" s="23">
        <v>71.19</v>
      </c>
      <c r="AD143" s="23">
        <v>71.75</v>
      </c>
      <c r="AE143" s="23">
        <v>76.5</v>
      </c>
      <c r="AF143" s="23">
        <v>77.27</v>
      </c>
      <c r="AG143" s="23">
        <v>85.96</v>
      </c>
      <c r="AH143" s="23">
        <v>94.11</v>
      </c>
      <c r="AI143" s="23">
        <v>105.59</v>
      </c>
      <c r="AJ143" s="5"/>
      <c r="AK143" s="5"/>
      <c r="AL143" s="21">
        <v>141</v>
      </c>
      <c r="AM143" s="22">
        <f t="shared" si="11"/>
        <v>2256</v>
      </c>
      <c r="AN143" s="23">
        <v>59.24</v>
      </c>
      <c r="AO143" s="23">
        <v>59.24</v>
      </c>
      <c r="AP143" s="23">
        <v>59.7</v>
      </c>
      <c r="AQ143" s="23">
        <v>63.66</v>
      </c>
      <c r="AR143" s="23">
        <v>64.3</v>
      </c>
      <c r="AS143" s="23">
        <v>71.52</v>
      </c>
      <c r="AT143" s="23">
        <v>78.31</v>
      </c>
      <c r="AU143" s="23">
        <v>87.86</v>
      </c>
    </row>
    <row r="144" ht="15.6" spans="2:47">
      <c r="B144" s="21">
        <v>142</v>
      </c>
      <c r="C144" s="22">
        <f t="shared" si="8"/>
        <v>2272</v>
      </c>
      <c r="D144" s="23">
        <v>86.55</v>
      </c>
      <c r="E144" s="23">
        <v>86.55</v>
      </c>
      <c r="F144" s="23">
        <v>86.86</v>
      </c>
      <c r="G144" s="23">
        <v>92.63</v>
      </c>
      <c r="H144" s="23">
        <v>94.17</v>
      </c>
      <c r="I144" s="23">
        <v>104.5</v>
      </c>
      <c r="J144" s="23">
        <v>114.52</v>
      </c>
      <c r="K144" s="23">
        <v>127.2</v>
      </c>
      <c r="L144" s="4"/>
      <c r="M144" s="4"/>
      <c r="N144" s="21">
        <v>142</v>
      </c>
      <c r="O144" s="22">
        <f t="shared" si="9"/>
        <v>2272</v>
      </c>
      <c r="P144" s="23">
        <v>79.34</v>
      </c>
      <c r="Q144" s="23">
        <v>79.34</v>
      </c>
      <c r="R144" s="23">
        <v>79.62</v>
      </c>
      <c r="S144" s="23">
        <v>84.91</v>
      </c>
      <c r="T144" s="23">
        <v>86.32</v>
      </c>
      <c r="U144" s="23">
        <v>95.79</v>
      </c>
      <c r="V144" s="23">
        <v>104.98</v>
      </c>
      <c r="W144" s="23">
        <v>116.6</v>
      </c>
      <c r="X144" s="4"/>
      <c r="Y144" s="4"/>
      <c r="Z144" s="21">
        <v>142</v>
      </c>
      <c r="AA144" s="22">
        <f t="shared" si="10"/>
        <v>2272</v>
      </c>
      <c r="AB144" s="23">
        <v>72.12</v>
      </c>
      <c r="AC144" s="23">
        <v>72.12</v>
      </c>
      <c r="AD144" s="23">
        <v>72.38</v>
      </c>
      <c r="AE144" s="23">
        <v>77.19</v>
      </c>
      <c r="AF144" s="23">
        <v>78.47</v>
      </c>
      <c r="AG144" s="23">
        <v>87.08</v>
      </c>
      <c r="AH144" s="23">
        <v>95.43</v>
      </c>
      <c r="AI144" s="23">
        <v>106</v>
      </c>
      <c r="AJ144" s="5"/>
      <c r="AK144" s="5"/>
      <c r="AL144" s="21">
        <v>142</v>
      </c>
      <c r="AM144" s="22">
        <f t="shared" si="11"/>
        <v>2272</v>
      </c>
      <c r="AN144" s="23">
        <v>60.01</v>
      </c>
      <c r="AO144" s="23">
        <v>60.01</v>
      </c>
      <c r="AP144" s="23">
        <v>60.23</v>
      </c>
      <c r="AQ144" s="23">
        <v>64.22</v>
      </c>
      <c r="AR144" s="23">
        <v>65.3</v>
      </c>
      <c r="AS144" s="23">
        <v>72.46</v>
      </c>
      <c r="AT144" s="23">
        <v>79.4</v>
      </c>
      <c r="AU144" s="23">
        <v>88.19</v>
      </c>
    </row>
    <row r="145" ht="15.6" spans="2:47">
      <c r="B145" s="21">
        <v>143</v>
      </c>
      <c r="C145" s="22">
        <f t="shared" si="8"/>
        <v>2288</v>
      </c>
      <c r="D145" s="23">
        <v>86.55</v>
      </c>
      <c r="E145" s="23">
        <v>86.55</v>
      </c>
      <c r="F145" s="23">
        <v>86.88</v>
      </c>
      <c r="G145" s="23">
        <v>92.63</v>
      </c>
      <c r="H145" s="23">
        <v>94.23</v>
      </c>
      <c r="I145" s="23">
        <v>104.73</v>
      </c>
      <c r="J145" s="23">
        <v>114.52</v>
      </c>
      <c r="K145" s="23">
        <v>127.29</v>
      </c>
      <c r="L145" s="4"/>
      <c r="M145" s="4"/>
      <c r="N145" s="21">
        <v>143</v>
      </c>
      <c r="O145" s="22">
        <f t="shared" si="9"/>
        <v>2288</v>
      </c>
      <c r="P145" s="23">
        <v>79.34</v>
      </c>
      <c r="Q145" s="23">
        <v>79.34</v>
      </c>
      <c r="R145" s="23">
        <v>79.64</v>
      </c>
      <c r="S145" s="23">
        <v>84.91</v>
      </c>
      <c r="T145" s="23">
        <v>86.38</v>
      </c>
      <c r="U145" s="23">
        <v>96</v>
      </c>
      <c r="V145" s="23">
        <v>104.98</v>
      </c>
      <c r="W145" s="23">
        <v>116.68</v>
      </c>
      <c r="X145" s="4"/>
      <c r="Y145" s="4"/>
      <c r="Z145" s="21">
        <v>143</v>
      </c>
      <c r="AA145" s="22">
        <f t="shared" si="10"/>
        <v>2288</v>
      </c>
      <c r="AB145" s="23">
        <v>72.12</v>
      </c>
      <c r="AC145" s="23">
        <v>72.12</v>
      </c>
      <c r="AD145" s="23">
        <v>72.4</v>
      </c>
      <c r="AE145" s="23">
        <v>77.19</v>
      </c>
      <c r="AF145" s="23">
        <v>78.52</v>
      </c>
      <c r="AG145" s="23">
        <v>87.27</v>
      </c>
      <c r="AH145" s="23">
        <v>95.43</v>
      </c>
      <c r="AI145" s="23">
        <v>106.07</v>
      </c>
      <c r="AJ145" s="5"/>
      <c r="AK145" s="5"/>
      <c r="AL145" s="21">
        <v>143</v>
      </c>
      <c r="AM145" s="22">
        <f t="shared" si="11"/>
        <v>2288</v>
      </c>
      <c r="AN145" s="23">
        <v>60.01</v>
      </c>
      <c r="AO145" s="23">
        <v>60.01</v>
      </c>
      <c r="AP145" s="23">
        <v>60.24</v>
      </c>
      <c r="AQ145" s="23">
        <v>64.22</v>
      </c>
      <c r="AR145" s="23">
        <v>65.33</v>
      </c>
      <c r="AS145" s="23">
        <v>72.6</v>
      </c>
      <c r="AT145" s="23">
        <v>79.4</v>
      </c>
      <c r="AU145" s="23">
        <v>88.25</v>
      </c>
    </row>
    <row r="146" ht="15.6" spans="2:47">
      <c r="B146" s="21">
        <v>144</v>
      </c>
      <c r="C146" s="22">
        <f t="shared" si="8"/>
        <v>2304</v>
      </c>
      <c r="D146" s="23">
        <v>88.91</v>
      </c>
      <c r="E146" s="23">
        <v>88.91</v>
      </c>
      <c r="F146" s="23">
        <v>90.2</v>
      </c>
      <c r="G146" s="23">
        <v>96.05</v>
      </c>
      <c r="H146" s="23">
        <v>96.98</v>
      </c>
      <c r="I146" s="23">
        <v>107.3</v>
      </c>
      <c r="J146" s="23">
        <v>117.24</v>
      </c>
      <c r="K146" s="23">
        <v>131.16</v>
      </c>
      <c r="L146" s="4"/>
      <c r="M146" s="4"/>
      <c r="N146" s="21">
        <v>144</v>
      </c>
      <c r="O146" s="22">
        <f t="shared" si="9"/>
        <v>2304</v>
      </c>
      <c r="P146" s="23">
        <v>81.5</v>
      </c>
      <c r="Q146" s="23">
        <v>81.5</v>
      </c>
      <c r="R146" s="23">
        <v>82.68</v>
      </c>
      <c r="S146" s="23">
        <v>88.05</v>
      </c>
      <c r="T146" s="23">
        <v>88.9</v>
      </c>
      <c r="U146" s="23">
        <v>98.36</v>
      </c>
      <c r="V146" s="23">
        <v>107.47</v>
      </c>
      <c r="W146" s="23">
        <v>120.23</v>
      </c>
      <c r="X146" s="4"/>
      <c r="Y146" s="4"/>
      <c r="Z146" s="21">
        <v>144</v>
      </c>
      <c r="AA146" s="22">
        <f t="shared" si="10"/>
        <v>2304</v>
      </c>
      <c r="AB146" s="23">
        <v>74.09</v>
      </c>
      <c r="AC146" s="23">
        <v>74.09</v>
      </c>
      <c r="AD146" s="23">
        <v>75.16</v>
      </c>
      <c r="AE146" s="23">
        <v>80.04</v>
      </c>
      <c r="AF146" s="23">
        <v>80.81</v>
      </c>
      <c r="AG146" s="23">
        <v>89.41</v>
      </c>
      <c r="AH146" s="23">
        <v>97.7</v>
      </c>
      <c r="AI146" s="23">
        <v>109.3</v>
      </c>
      <c r="AJ146" s="5"/>
      <c r="AK146" s="5"/>
      <c r="AL146" s="21">
        <v>144</v>
      </c>
      <c r="AM146" s="22">
        <f t="shared" si="11"/>
        <v>2304</v>
      </c>
      <c r="AN146" s="23">
        <v>61.64</v>
      </c>
      <c r="AO146" s="23">
        <v>61.64</v>
      </c>
      <c r="AP146" s="23">
        <v>62.54</v>
      </c>
      <c r="AQ146" s="23">
        <v>66.59</v>
      </c>
      <c r="AR146" s="23">
        <v>67.24</v>
      </c>
      <c r="AS146" s="23">
        <v>74.38</v>
      </c>
      <c r="AT146" s="23">
        <v>81.29</v>
      </c>
      <c r="AU146" s="23">
        <v>90.94</v>
      </c>
    </row>
    <row r="147" ht="15.6" spans="2:47">
      <c r="B147" s="21">
        <v>145</v>
      </c>
      <c r="C147" s="22">
        <f t="shared" si="8"/>
        <v>2320</v>
      </c>
      <c r="D147" s="23">
        <v>88.94</v>
      </c>
      <c r="E147" s="23">
        <v>88.94</v>
      </c>
      <c r="F147" s="23">
        <v>91.89</v>
      </c>
      <c r="G147" s="23">
        <v>96.05</v>
      </c>
      <c r="H147" s="23">
        <v>97.18</v>
      </c>
      <c r="I147" s="23">
        <v>108.89</v>
      </c>
      <c r="J147" s="23">
        <v>118.48</v>
      </c>
      <c r="K147" s="23">
        <v>131.16</v>
      </c>
      <c r="L147" s="4"/>
      <c r="M147" s="4"/>
      <c r="N147" s="21">
        <v>145</v>
      </c>
      <c r="O147" s="22">
        <f t="shared" si="9"/>
        <v>2320</v>
      </c>
      <c r="P147" s="23">
        <v>81.53</v>
      </c>
      <c r="Q147" s="23">
        <v>81.53</v>
      </c>
      <c r="R147" s="23">
        <v>84.23</v>
      </c>
      <c r="S147" s="23">
        <v>88.05</v>
      </c>
      <c r="T147" s="23">
        <v>89.08</v>
      </c>
      <c r="U147" s="23">
        <v>99.82</v>
      </c>
      <c r="V147" s="23">
        <v>108.61</v>
      </c>
      <c r="W147" s="23">
        <v>120.23</v>
      </c>
      <c r="X147" s="4"/>
      <c r="Y147" s="4"/>
      <c r="Z147" s="21">
        <v>145</v>
      </c>
      <c r="AA147" s="22">
        <f t="shared" si="10"/>
        <v>2320</v>
      </c>
      <c r="AB147" s="23">
        <v>74.11</v>
      </c>
      <c r="AC147" s="23">
        <v>74.11</v>
      </c>
      <c r="AD147" s="23">
        <v>76.57</v>
      </c>
      <c r="AE147" s="23">
        <v>80.04</v>
      </c>
      <c r="AF147" s="23">
        <v>80.98</v>
      </c>
      <c r="AG147" s="23">
        <v>90.74</v>
      </c>
      <c r="AH147" s="23">
        <v>98.73</v>
      </c>
      <c r="AI147" s="23">
        <v>109.3</v>
      </c>
      <c r="AJ147" s="5"/>
      <c r="AK147" s="5"/>
      <c r="AL147" s="21">
        <v>145</v>
      </c>
      <c r="AM147" s="22">
        <f t="shared" si="11"/>
        <v>2320</v>
      </c>
      <c r="AN147" s="23">
        <v>61.66</v>
      </c>
      <c r="AO147" s="23">
        <v>61.66</v>
      </c>
      <c r="AP147" s="23">
        <v>63.7</v>
      </c>
      <c r="AQ147" s="23">
        <v>66.61</v>
      </c>
      <c r="AR147" s="23">
        <v>67.39</v>
      </c>
      <c r="AS147" s="23">
        <v>75.5</v>
      </c>
      <c r="AT147" s="23">
        <v>82.15</v>
      </c>
      <c r="AU147" s="23">
        <v>90.95</v>
      </c>
    </row>
    <row r="148" ht="15.6" spans="2:47">
      <c r="B148" s="21">
        <v>146</v>
      </c>
      <c r="C148" s="22">
        <f t="shared" si="8"/>
        <v>2336</v>
      </c>
      <c r="D148" s="23">
        <v>88.94</v>
      </c>
      <c r="E148" s="23">
        <v>88.94</v>
      </c>
      <c r="F148" s="23">
        <v>91.92</v>
      </c>
      <c r="G148" s="23">
        <v>96.17</v>
      </c>
      <c r="H148" s="23">
        <v>97.18</v>
      </c>
      <c r="I148" s="23">
        <v>108.9</v>
      </c>
      <c r="J148" s="23">
        <v>118.48</v>
      </c>
      <c r="K148" s="23">
        <v>132</v>
      </c>
      <c r="L148" s="4"/>
      <c r="M148" s="4"/>
      <c r="N148" s="21">
        <v>146</v>
      </c>
      <c r="O148" s="22">
        <f t="shared" si="9"/>
        <v>2336</v>
      </c>
      <c r="P148" s="23">
        <v>81.53</v>
      </c>
      <c r="Q148" s="23">
        <v>81.53</v>
      </c>
      <c r="R148" s="23">
        <v>84.26</v>
      </c>
      <c r="S148" s="23">
        <v>88.16</v>
      </c>
      <c r="T148" s="23">
        <v>89.08</v>
      </c>
      <c r="U148" s="23">
        <v>99.83</v>
      </c>
      <c r="V148" s="23">
        <v>108.61</v>
      </c>
      <c r="W148" s="23">
        <v>121</v>
      </c>
      <c r="X148" s="4"/>
      <c r="Y148" s="4"/>
      <c r="Z148" s="21">
        <v>146</v>
      </c>
      <c r="AA148" s="22">
        <f t="shared" si="10"/>
        <v>2336</v>
      </c>
      <c r="AB148" s="23">
        <v>74.11</v>
      </c>
      <c r="AC148" s="23">
        <v>74.11</v>
      </c>
      <c r="AD148" s="23">
        <v>76.6</v>
      </c>
      <c r="AE148" s="23">
        <v>80.14</v>
      </c>
      <c r="AF148" s="23">
        <v>80.98</v>
      </c>
      <c r="AG148" s="23">
        <v>90.75</v>
      </c>
      <c r="AH148" s="23">
        <v>98.73</v>
      </c>
      <c r="AI148" s="23">
        <v>110</v>
      </c>
      <c r="AJ148" s="5"/>
      <c r="AK148" s="5"/>
      <c r="AL148" s="21">
        <v>146</v>
      </c>
      <c r="AM148" s="22">
        <f t="shared" si="11"/>
        <v>2336</v>
      </c>
      <c r="AN148" s="23">
        <v>61.66</v>
      </c>
      <c r="AO148" s="23">
        <v>61.66</v>
      </c>
      <c r="AP148" s="23">
        <v>63.73</v>
      </c>
      <c r="AQ148" s="23">
        <v>66.68</v>
      </c>
      <c r="AR148" s="23">
        <v>67.39</v>
      </c>
      <c r="AS148" s="23">
        <v>75.5</v>
      </c>
      <c r="AT148" s="23">
        <v>82.15</v>
      </c>
      <c r="AU148" s="23">
        <v>91.52</v>
      </c>
    </row>
    <row r="149" ht="15.6" spans="2:47">
      <c r="B149" s="21">
        <v>147</v>
      </c>
      <c r="C149" s="22">
        <f t="shared" si="8"/>
        <v>2352</v>
      </c>
      <c r="D149" s="23">
        <v>89.99</v>
      </c>
      <c r="E149" s="23">
        <v>89.99</v>
      </c>
      <c r="F149" s="23">
        <v>91.98</v>
      </c>
      <c r="G149" s="23">
        <v>96.96</v>
      </c>
      <c r="H149" s="23">
        <v>97.98</v>
      </c>
      <c r="I149" s="23">
        <v>109.68</v>
      </c>
      <c r="J149" s="23">
        <v>118.52</v>
      </c>
      <c r="K149" s="23">
        <v>132.92</v>
      </c>
      <c r="L149" s="4"/>
      <c r="M149" s="4"/>
      <c r="N149" s="21">
        <v>147</v>
      </c>
      <c r="O149" s="22">
        <f t="shared" si="9"/>
        <v>2352</v>
      </c>
      <c r="P149" s="23">
        <v>82.49</v>
      </c>
      <c r="Q149" s="23">
        <v>82.49</v>
      </c>
      <c r="R149" s="23">
        <v>84.32</v>
      </c>
      <c r="S149" s="23">
        <v>88.88</v>
      </c>
      <c r="T149" s="23">
        <v>89.82</v>
      </c>
      <c r="U149" s="23">
        <v>100.54</v>
      </c>
      <c r="V149" s="23">
        <v>108.64</v>
      </c>
      <c r="W149" s="23">
        <v>121.84</v>
      </c>
      <c r="X149" s="4"/>
      <c r="Y149" s="4"/>
      <c r="Z149" s="21">
        <v>147</v>
      </c>
      <c r="AA149" s="22">
        <f t="shared" si="10"/>
        <v>2352</v>
      </c>
      <c r="AB149" s="23">
        <v>74.99</v>
      </c>
      <c r="AC149" s="23">
        <v>74.99</v>
      </c>
      <c r="AD149" s="23">
        <v>76.65</v>
      </c>
      <c r="AE149" s="23">
        <v>80.8</v>
      </c>
      <c r="AF149" s="23">
        <v>81.65</v>
      </c>
      <c r="AG149" s="23">
        <v>91.4</v>
      </c>
      <c r="AH149" s="23">
        <v>98.76</v>
      </c>
      <c r="AI149" s="23">
        <v>110.76</v>
      </c>
      <c r="AJ149" s="5"/>
      <c r="AK149" s="5"/>
      <c r="AL149" s="21">
        <v>147</v>
      </c>
      <c r="AM149" s="22">
        <f t="shared" si="11"/>
        <v>2352</v>
      </c>
      <c r="AN149" s="23">
        <v>62.39</v>
      </c>
      <c r="AO149" s="23">
        <v>62.39</v>
      </c>
      <c r="AP149" s="23">
        <v>63.78</v>
      </c>
      <c r="AQ149" s="23">
        <v>67.22</v>
      </c>
      <c r="AR149" s="23">
        <v>67.94</v>
      </c>
      <c r="AS149" s="23">
        <v>76.04</v>
      </c>
      <c r="AT149" s="23">
        <v>82.17</v>
      </c>
      <c r="AU149" s="23">
        <v>92.15</v>
      </c>
    </row>
    <row r="150" ht="15.6" spans="2:47">
      <c r="B150" s="21">
        <v>148</v>
      </c>
      <c r="C150" s="22">
        <f t="shared" si="8"/>
        <v>2368</v>
      </c>
      <c r="D150" s="23">
        <v>90.09</v>
      </c>
      <c r="E150" s="23">
        <v>90.09</v>
      </c>
      <c r="F150" s="23">
        <v>92.46</v>
      </c>
      <c r="G150" s="23">
        <v>97.89</v>
      </c>
      <c r="H150" s="23">
        <v>98.81</v>
      </c>
      <c r="I150" s="23">
        <v>110.03</v>
      </c>
      <c r="J150" s="23">
        <v>118.64</v>
      </c>
      <c r="K150" s="23">
        <v>133.65</v>
      </c>
      <c r="L150" s="4"/>
      <c r="M150" s="4"/>
      <c r="N150" s="21">
        <v>148</v>
      </c>
      <c r="O150" s="22">
        <f t="shared" si="9"/>
        <v>2368</v>
      </c>
      <c r="P150" s="23">
        <v>82.58</v>
      </c>
      <c r="Q150" s="23">
        <v>82.58</v>
      </c>
      <c r="R150" s="23">
        <v>84.76</v>
      </c>
      <c r="S150" s="23">
        <v>89.73</v>
      </c>
      <c r="T150" s="23">
        <v>90.58</v>
      </c>
      <c r="U150" s="23">
        <v>100.86</v>
      </c>
      <c r="V150" s="23">
        <v>108.75</v>
      </c>
      <c r="W150" s="23">
        <v>122.51</v>
      </c>
      <c r="X150" s="4"/>
      <c r="Y150" s="4"/>
      <c r="Z150" s="21">
        <v>148</v>
      </c>
      <c r="AA150" s="22">
        <f t="shared" si="10"/>
        <v>2368</v>
      </c>
      <c r="AB150" s="23">
        <v>75.07</v>
      </c>
      <c r="AC150" s="23">
        <v>75.07</v>
      </c>
      <c r="AD150" s="23">
        <v>77.05</v>
      </c>
      <c r="AE150" s="23">
        <v>81.57</v>
      </c>
      <c r="AF150" s="23">
        <v>82.34</v>
      </c>
      <c r="AG150" s="23">
        <v>91.69</v>
      </c>
      <c r="AH150" s="23">
        <v>98.86</v>
      </c>
      <c r="AI150" s="23">
        <v>111.37</v>
      </c>
      <c r="AJ150" s="5"/>
      <c r="AK150" s="5"/>
      <c r="AL150" s="21">
        <v>148</v>
      </c>
      <c r="AM150" s="22">
        <f t="shared" si="11"/>
        <v>2368</v>
      </c>
      <c r="AN150" s="23">
        <v>62.46</v>
      </c>
      <c r="AO150" s="23">
        <v>62.46</v>
      </c>
      <c r="AP150" s="23">
        <v>64.11</v>
      </c>
      <c r="AQ150" s="23">
        <v>67.86</v>
      </c>
      <c r="AR150" s="23">
        <v>68.51</v>
      </c>
      <c r="AS150" s="23">
        <v>76.3</v>
      </c>
      <c r="AT150" s="23">
        <v>82.26</v>
      </c>
      <c r="AU150" s="23">
        <v>92.66</v>
      </c>
    </row>
    <row r="151" ht="15.6" spans="2:47">
      <c r="B151" s="21">
        <v>149</v>
      </c>
      <c r="C151" s="22">
        <f t="shared" si="8"/>
        <v>2384</v>
      </c>
      <c r="D151" s="23">
        <v>90.11</v>
      </c>
      <c r="E151" s="23">
        <v>90.11</v>
      </c>
      <c r="F151" s="23">
        <v>92.52</v>
      </c>
      <c r="G151" s="23">
        <v>98.28</v>
      </c>
      <c r="H151" s="23">
        <v>99.53</v>
      </c>
      <c r="I151" s="23">
        <v>110.04</v>
      </c>
      <c r="J151" s="23">
        <v>118.65</v>
      </c>
      <c r="K151" s="23">
        <v>133.65</v>
      </c>
      <c r="L151" s="4"/>
      <c r="M151" s="4"/>
      <c r="N151" s="21">
        <v>149</v>
      </c>
      <c r="O151" s="22">
        <f t="shared" si="9"/>
        <v>2384</v>
      </c>
      <c r="P151" s="23">
        <v>82.6</v>
      </c>
      <c r="Q151" s="23">
        <v>82.6</v>
      </c>
      <c r="R151" s="23">
        <v>84.81</v>
      </c>
      <c r="S151" s="23">
        <v>90.09</v>
      </c>
      <c r="T151" s="23">
        <v>91.24</v>
      </c>
      <c r="U151" s="23">
        <v>100.87</v>
      </c>
      <c r="V151" s="23">
        <v>108.76</v>
      </c>
      <c r="W151" s="23">
        <v>122.51</v>
      </c>
      <c r="X151" s="4"/>
      <c r="Y151" s="4"/>
      <c r="Z151" s="21">
        <v>149</v>
      </c>
      <c r="AA151" s="22">
        <f t="shared" si="10"/>
        <v>2384</v>
      </c>
      <c r="AB151" s="23">
        <v>75.09</v>
      </c>
      <c r="AC151" s="23">
        <v>75.09</v>
      </c>
      <c r="AD151" s="23">
        <v>77.1</v>
      </c>
      <c r="AE151" s="23">
        <v>81.9</v>
      </c>
      <c r="AF151" s="23">
        <v>82.94</v>
      </c>
      <c r="AG151" s="23">
        <v>91.7</v>
      </c>
      <c r="AH151" s="23">
        <v>98.87</v>
      </c>
      <c r="AI151" s="23">
        <v>111.37</v>
      </c>
      <c r="AJ151" s="5"/>
      <c r="AK151" s="5"/>
      <c r="AL151" s="21">
        <v>149</v>
      </c>
      <c r="AM151" s="22">
        <f t="shared" si="11"/>
        <v>2384</v>
      </c>
      <c r="AN151" s="23">
        <v>62.47</v>
      </c>
      <c r="AO151" s="23">
        <v>62.47</v>
      </c>
      <c r="AP151" s="23">
        <v>64.15</v>
      </c>
      <c r="AQ151" s="23">
        <v>68.16</v>
      </c>
      <c r="AR151" s="23">
        <v>69</v>
      </c>
      <c r="AS151" s="23">
        <v>76.3</v>
      </c>
      <c r="AT151" s="23">
        <v>82.27</v>
      </c>
      <c r="AU151" s="23">
        <v>92.68</v>
      </c>
    </row>
    <row r="152" ht="15.6" spans="2:47">
      <c r="B152" s="21">
        <v>150</v>
      </c>
      <c r="C152" s="22">
        <f t="shared" si="8"/>
        <v>2400</v>
      </c>
      <c r="D152" s="23">
        <v>90.11</v>
      </c>
      <c r="E152" s="23">
        <v>90.11</v>
      </c>
      <c r="F152" s="23">
        <v>92.56</v>
      </c>
      <c r="G152" s="23">
        <v>98.49</v>
      </c>
      <c r="H152" s="23">
        <v>101.13</v>
      </c>
      <c r="I152" s="23">
        <v>110.27</v>
      </c>
      <c r="J152" s="23">
        <v>118.89</v>
      </c>
      <c r="K152" s="23">
        <v>133.92</v>
      </c>
      <c r="L152" s="5"/>
      <c r="M152" s="5"/>
      <c r="N152" s="21">
        <v>150</v>
      </c>
      <c r="O152" s="22">
        <f t="shared" si="9"/>
        <v>2400</v>
      </c>
      <c r="P152" s="23">
        <v>82.6</v>
      </c>
      <c r="Q152" s="23">
        <v>82.6</v>
      </c>
      <c r="R152" s="23">
        <v>84.85</v>
      </c>
      <c r="S152" s="23">
        <v>90.28</v>
      </c>
      <c r="T152" s="23">
        <v>92.7</v>
      </c>
      <c r="U152" s="23">
        <v>101.08</v>
      </c>
      <c r="V152" s="23">
        <v>108.98</v>
      </c>
      <c r="W152" s="23">
        <v>122.76</v>
      </c>
      <c r="X152" s="5"/>
      <c r="Y152" s="5"/>
      <c r="Z152" s="21">
        <v>150</v>
      </c>
      <c r="AA152" s="22">
        <f t="shared" si="10"/>
        <v>2400</v>
      </c>
      <c r="AB152" s="23">
        <v>75.09</v>
      </c>
      <c r="AC152" s="23">
        <v>75.09</v>
      </c>
      <c r="AD152" s="23">
        <v>77.13</v>
      </c>
      <c r="AE152" s="23">
        <v>82.07</v>
      </c>
      <c r="AF152" s="23">
        <v>84.27</v>
      </c>
      <c r="AG152" s="23">
        <v>91.89</v>
      </c>
      <c r="AH152" s="23">
        <v>99.07</v>
      </c>
      <c r="AI152" s="23">
        <v>111.6</v>
      </c>
      <c r="AJ152" s="5"/>
      <c r="AK152" s="5"/>
      <c r="AL152" s="21">
        <v>150</v>
      </c>
      <c r="AM152" s="22">
        <f t="shared" si="11"/>
        <v>2400</v>
      </c>
      <c r="AN152" s="23">
        <v>62.47</v>
      </c>
      <c r="AO152" s="23">
        <v>62.47</v>
      </c>
      <c r="AP152" s="23">
        <v>64.17</v>
      </c>
      <c r="AQ152" s="23">
        <v>68.29</v>
      </c>
      <c r="AR152" s="23">
        <v>70.11</v>
      </c>
      <c r="AS152" s="23">
        <v>76.45</v>
      </c>
      <c r="AT152" s="23">
        <v>82.43</v>
      </c>
      <c r="AU152" s="23">
        <v>92.85</v>
      </c>
    </row>
  </sheetData>
  <mergeCells count="80">
    <mergeCell ref="B1:C1"/>
    <mergeCell ref="D1:K1"/>
    <mergeCell ref="N1:O1"/>
    <mergeCell ref="P1:W1"/>
    <mergeCell ref="Z1:AA1"/>
    <mergeCell ref="AB1:AI1"/>
    <mergeCell ref="AL1:AM1"/>
    <mergeCell ref="AN1:AU1"/>
    <mergeCell ref="AX1:AY1"/>
    <mergeCell ref="BF1:BG1"/>
    <mergeCell ref="AX2:AZ2"/>
    <mergeCell ref="BA2:BE2"/>
    <mergeCell ref="BF2:BG2"/>
    <mergeCell ref="BA3:BE3"/>
    <mergeCell ref="BA4:BE4"/>
    <mergeCell ref="AX5:AZ5"/>
    <mergeCell ref="BA5:BE5"/>
    <mergeCell ref="BF5:BG5"/>
    <mergeCell ref="AX6:AZ6"/>
    <mergeCell ref="BA6:BE6"/>
    <mergeCell ref="BF6:BG6"/>
    <mergeCell ref="AX7:AZ7"/>
    <mergeCell ref="BA7:BE7"/>
    <mergeCell ref="BF7:BG7"/>
    <mergeCell ref="AX23:AZ23"/>
    <mergeCell ref="BA23:BE23"/>
    <mergeCell ref="BF23:BG23"/>
    <mergeCell ref="BA24:BE24"/>
    <mergeCell ref="BF24:BG24"/>
    <mergeCell ref="BA25:BE25"/>
    <mergeCell ref="BA26:BE26"/>
    <mergeCell ref="BA27:BE27"/>
    <mergeCell ref="BF27:BG27"/>
    <mergeCell ref="BA28:BE28"/>
    <mergeCell ref="BF28:BG28"/>
    <mergeCell ref="BA29:BE29"/>
    <mergeCell ref="BF29:BG29"/>
    <mergeCell ref="BA30:BE30"/>
    <mergeCell ref="BF30:BG30"/>
    <mergeCell ref="BA31:BE31"/>
    <mergeCell ref="BF31:BG31"/>
    <mergeCell ref="BA32:BE32"/>
    <mergeCell ref="BF32:BG32"/>
    <mergeCell ref="AX33:AZ33"/>
    <mergeCell ref="BA33:BE33"/>
    <mergeCell ref="BF33:BG33"/>
    <mergeCell ref="BA34:BE34"/>
    <mergeCell ref="BF34:BG34"/>
    <mergeCell ref="BA35:BE35"/>
    <mergeCell ref="BF35:BG35"/>
    <mergeCell ref="BA36:BE36"/>
    <mergeCell ref="BF36:BG36"/>
    <mergeCell ref="AX37:AZ37"/>
    <mergeCell ref="BA37:BE37"/>
    <mergeCell ref="BF37:BG37"/>
    <mergeCell ref="AX38:AZ38"/>
    <mergeCell ref="BA38:BE38"/>
    <mergeCell ref="BF38:BG38"/>
    <mergeCell ref="AX39:BG39"/>
    <mergeCell ref="AX40:BG40"/>
    <mergeCell ref="BH11:BH13"/>
    <mergeCell ref="BH14:BH16"/>
    <mergeCell ref="BH17:BH19"/>
    <mergeCell ref="BH20:BH22"/>
    <mergeCell ref="AX3:AZ4"/>
    <mergeCell ref="BF3:BG4"/>
    <mergeCell ref="AX8:AZ10"/>
    <mergeCell ref="BA8:BE10"/>
    <mergeCell ref="AX11:AZ13"/>
    <mergeCell ref="BA11:BE13"/>
    <mergeCell ref="AX14:AZ16"/>
    <mergeCell ref="BA14:BE16"/>
    <mergeCell ref="AX17:AZ19"/>
    <mergeCell ref="BA17:BE19"/>
    <mergeCell ref="AX20:AZ22"/>
    <mergeCell ref="BA20:BE22"/>
    <mergeCell ref="AX24:AZ26"/>
    <mergeCell ref="AX27:AZ29"/>
    <mergeCell ref="AX30:AZ32"/>
    <mergeCell ref="AX34:AZ36"/>
  </mergeCells>
  <conditionalFormatting sqref="O2:U151">
    <cfRule type="cellIs" dxfId="0" priority="2" operator="equal">
      <formula>7</formula>
    </cfRule>
  </conditionalFormatting>
  <conditionalFormatting sqref="AA2:AG151">
    <cfRule type="cellIs" dxfId="0" priority="1" operator="equal">
      <formula>7</formula>
    </cfRule>
  </conditionalFormatting>
  <hyperlinks>
    <hyperlink ref="BA4" r:id="rId1" display="https://www.ups.com/us/en/support/shipping-support/shipping-costs-rates/fuel-surcharges.page" tooltip="https://www.ups.com/us/en/support/shipping-support/shipping-costs-rates/fuel-surcharges.pag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GOFO Parcel</vt:lpstr>
      <vt:lpstr>Amazon Shipping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YIER</cp:lastModifiedBy>
  <dcterms:created xsi:type="dcterms:W3CDTF">2026-02-23T07:00:00Z</dcterms:created>
  <dcterms:modified xsi:type="dcterms:W3CDTF">2026-02-25T02:34:38Z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7E5D925365F84533A30C114EE72585C5_13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