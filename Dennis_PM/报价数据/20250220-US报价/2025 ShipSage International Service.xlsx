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10500" tabRatio="779" activeTab="1"/>
  </bookViews>
  <sheets>
    <sheet name="Introduction" sheetId="1" r:id="rId1"/>
    <sheet name="International Service"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<sst xmlns="http://schemas.openxmlformats.org/spreadsheetml/2006/main" count="21" uniqueCount="20">
  <si>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ShipSage Fulfillment Network Pricing Proposal</t>
  </si>
  <si>
    <r>
      <rPr>
        <sz val="16"/>
        <color theme="1"/>
        <rFont val="Calibri"/>
        <charset val="134"/>
      </rPr>
      <t>Version No</t>
    </r>
    <r>
      <rPr>
        <sz val="16"/>
        <color theme="1"/>
        <rFont val="宋体"/>
        <charset val="134"/>
      </rPr>
      <t>：</t>
    </r>
    <r>
      <rPr>
        <sz val="16"/>
        <color theme="1"/>
        <rFont val="Calibri"/>
        <charset val="134"/>
      </rPr>
      <t xml:space="preserve"> US2024123001</t>
    </r>
  </si>
  <si>
    <r>
      <rPr>
        <sz val="16"/>
        <color theme="1"/>
        <rFont val="Calibri"/>
        <charset val="134"/>
      </rPr>
      <t xml:space="preserve">Recipient: </t>
    </r>
    <r>
      <rPr>
        <sz val="16"/>
        <color theme="0" tint="-0.249977111117893"/>
        <rFont val="Calibri"/>
        <charset val="134"/>
      </rPr>
      <t>Name of employee, Position, Name of company</t>
    </r>
  </si>
  <si>
    <t>Issue date: 2023-12-30</t>
  </si>
  <si>
    <t>Effective date: 2024-01-30</t>
  </si>
  <si>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</si>
  <si>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</si>
  <si>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</si>
  <si>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</si>
  <si>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Shipping  Rates &amp; handling</t>
  </si>
  <si>
    <t>International Service</t>
  </si>
  <si>
    <t>Weight</t>
  </si>
  <si>
    <t>Destination Country</t>
  </si>
  <si>
    <t>lb</t>
  </si>
  <si>
    <t>oz</t>
  </si>
  <si>
    <t>Canada</t>
  </si>
  <si>
    <r>
      <rPr>
        <b/>
        <sz val="16"/>
        <color theme="8" tint="-0.249977111117893"/>
        <rFont val="SimSun"/>
        <charset val="134"/>
      </rPr>
      <t>※</t>
    </r>
    <r>
      <rPr>
        <b/>
        <sz val="16"/>
        <color theme="8" tint="-0.249977111117893"/>
        <rFont val="Calibri"/>
        <charset val="134"/>
      </rPr>
      <t xml:space="preserve"> Special Considerations</t>
    </r>
  </si>
  <si>
    <t>1. Max Dimensions: Length: 31 inches,  (2xHeight)+(2xWidth) : 54 inches.</t>
  </si>
  <si>
    <t>2. Max Length: Square tube: 45 inches,  Round tube: 42.5 inches.</t>
  </si>
  <si>
    <t>3. Hazardous materials are excluded from transportation services.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</si>
</sst>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_);\(0\)"/>
    <numFmt numFmtId="179" formatCode="#\ ?/??"/>
    <numFmt numFmtId="180" formatCode="\$#,##0.00;\-\$#,##0.00"/>
  </numFmts>
  <fonts count="37">
    <font>
      <sz val="11"/>
      <color theme="1"/>
      <name val="宋体"/>
      <charset val="134"/>
      <scheme val="minor"/>
    </font>
    <font>
      <b/>
      <sz val="28"/>
      <color theme="1" tint="0.349986266670736"/>
      <name val="Calibri"/>
      <charset val="134"/>
    </font>
    <font>
      <b/>
      <sz val="16"/>
      <color theme="8" tint="-0.249977111117893"/>
      <name val="Calibri"/>
      <charset val="134"/>
    </font>
    <font>
      <b/>
      <sz val="14"/>
      <color rgb="FF000000"/>
      <name val="Calibri"/>
      <charset val="134"/>
    </font>
    <font>
      <sz val="14"/>
      <color rgb="FF000000"/>
      <name val="Calibri"/>
      <charset val="134"/>
    </font>
    <font>
      <sz val="12"/>
      <name val="Calibri"/>
      <charset val="134"/>
    </font>
    <font>
      <sz val="10"/>
      <color theme="1"/>
      <name val="Calibri"/>
      <charset val="134"/>
    </font>
    <font>
      <b/>
      <sz val="16"/>
      <color theme="8" tint="-0.249977111117893"/>
      <name val="SimSun"/>
      <charset val="134"/>
    </font>
    <font>
      <sz val="11"/>
      <color theme="8" tint="-0.249977111117893"/>
      <name val="SimSun"/>
      <charset val="134"/>
    </font>
    <font>
      <sz val="12"/>
      <color theme="1"/>
      <name val="Calibri"/>
      <charset val="134"/>
    </font>
    <font>
      <sz val="11"/>
      <color theme="1"/>
      <name val="Calibri"/>
      <charset val="134"/>
    </font>
    <font>
      <b/>
      <sz val="20"/>
      <color theme="1" tint="0.349986266670736"/>
      <name val="Calibri"/>
      <charset val="134"/>
    </font>
    <font>
      <b/>
      <sz val="16"/>
      <color theme="1"/>
      <name val="Calibri"/>
      <charset val="134"/>
    </font>
    <font>
      <sz val="16"/>
      <color theme="1"/>
      <name val="Calibri"/>
      <charset val="134"/>
    </font>
    <font>
      <sz val="16"/>
      <name val="Calibri"/>
      <charset val="134"/>
    </font>
    <font>
      <b/>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0" tint="-0.249977111117893"/>
      <name val="Calibri"/>
      <charset val="134"/>
    </font>
    <font>
      <sz val="16"/>
      <color theme="1"/>
      <name val="宋体"/>
      <charset val="134"/>
    </font>
  </fonts>
  <fills count="36">
    <fill>
      <patternFill patternType="none"/>
    </fill>
    <fill>
      <patternFill patternType="gray125"/>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hair">
        <color theme="8" tint="0.399945066682943"/>
      </left>
      <right/>
      <top style="hair">
        <color theme="8" tint="0.399945066682943"/>
      </top>
      <bottom style="hair">
        <color theme="8" tint="0.39994506668294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5" borderId="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23" fillId="0" borderId="5" applyNumberFormat="0" applyFill="0" applyAlignment="0" applyProtection="0">
      <alignment vertical="center"/>
    </xf>
    <xf numFmtId="0" fontId="23" fillId="0" borderId="0" applyNumberFormat="0" applyFill="0" applyBorder="0" applyAlignment="0" applyProtection="0">
      <alignment vertical="center"/>
    </xf>
    <xf numFmtId="0" fontId="24" fillId="6" borderId="6" applyNumberFormat="0" applyAlignment="0" applyProtection="0">
      <alignment vertical="center"/>
    </xf>
    <xf numFmtId="0" fontId="25" fillId="7" borderId="7" applyNumberFormat="0" applyAlignment="0" applyProtection="0">
      <alignment vertical="center"/>
    </xf>
    <xf numFmtId="0" fontId="26" fillId="7" borderId="6" applyNumberFormat="0" applyAlignment="0" applyProtection="0">
      <alignment vertical="center"/>
    </xf>
    <xf numFmtId="0" fontId="27" fillId="8" borderId="8" applyNumberFormat="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31">
    <xf numFmtId="0" fontId="0" fillId="0" borderId="0" xfId="0">
      <alignment vertical="center"/>
    </xf>
    <xf numFmtId="0" fontId="1" fillId="2" borderId="0" xfId="0" applyFont="1" applyFill="1" applyAlignment="1"/>
    <xf numFmtId="0" fontId="2" fillId="0" borderId="0" xfId="0" applyFont="1">
      <alignment vertical="center"/>
    </xf>
    <xf numFmtId="0" fontId="3" fillId="3" borderId="1" xfId="0" applyFont="1" applyFill="1" applyBorder="1" applyAlignment="1">
      <alignment horizontal="center"/>
    </xf>
    <xf numFmtId="0" fontId="4" fillId="0" borderId="1" xfId="0" applyFont="1" applyBorder="1" applyAlignment="1"/>
    <xf numFmtId="0" fontId="3" fillId="3" borderId="2" xfId="0" applyFont="1" applyFill="1" applyBorder="1" applyAlignment="1"/>
    <xf numFmtId="0" fontId="4" fillId="3" borderId="1" xfId="0" applyFont="1" applyFill="1" applyBorder="1" applyAlignment="1">
      <alignment horizontal="center" vertical="center"/>
    </xf>
    <xf numFmtId="178" fontId="4" fillId="3" borderId="1" xfId="0" applyNumberFormat="1" applyFont="1" applyFill="1" applyBorder="1" applyAlignment="1">
      <alignment horizontal="center" vertical="center"/>
    </xf>
    <xf numFmtId="0" fontId="0" fillId="0" borderId="0" xfId="0" applyAlignment="1">
      <alignment horizontal="center" vertical="center"/>
    </xf>
    <xf numFmtId="179" fontId="5" fillId="4" borderId="1" xfId="0" applyNumberFormat="1" applyFont="1" applyFill="1" applyBorder="1" applyAlignment="1">
      <alignment horizontal="center"/>
    </xf>
    <xf numFmtId="179" fontId="5" fillId="0" borderId="1" xfId="0" applyNumberFormat="1" applyFont="1" applyBorder="1" applyAlignment="1">
      <alignment horizontal="center"/>
    </xf>
    <xf numFmtId="180" fontId="5" fillId="0" borderId="1" xfId="0" applyNumberFormat="1" applyFont="1" applyFill="1" applyBorder="1" applyAlignment="1">
      <alignment horizont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0" fillId="0" borderId="0" xfId="0" applyFont="1">
      <alignment vertical="center"/>
    </xf>
    <xf numFmtId="0" fontId="9" fillId="0" borderId="0" xfId="0" applyFont="1" applyBorder="1" applyAlignment="1">
      <alignment vertical="center"/>
    </xf>
    <xf numFmtId="0" fontId="0" fillId="0" borderId="0" xfId="0" applyFont="1" applyBorder="1">
      <alignment vertical="center"/>
    </xf>
    <xf numFmtId="0" fontId="8" fillId="0" borderId="0" xfId="0" applyFont="1" applyBorder="1" applyAlignment="1">
      <alignment horizontal="left" vertical="center"/>
    </xf>
    <xf numFmtId="0" fontId="10" fillId="0" borderId="0" xfId="0" applyFont="1">
      <alignment vertical="center"/>
    </xf>
    <xf numFmtId="0" fontId="11" fillId="2" borderId="0" xfId="0" applyFont="1" applyFill="1" applyAlignment="1">
      <alignment horizontal="left"/>
    </xf>
    <xf numFmtId="0" fontId="12" fillId="0" borderId="0" xfId="0" applyFont="1" applyAlignment="1">
      <alignment vertical="top" wrapText="1"/>
    </xf>
    <xf numFmtId="0" fontId="13" fillId="0" borderId="0" xfId="0" applyFont="1" applyAlignment="1">
      <alignment vertical="top" wrapText="1"/>
    </xf>
    <xf numFmtId="0" fontId="13" fillId="0" borderId="0" xfId="0" applyFont="1">
      <alignment vertical="center"/>
    </xf>
    <xf numFmtId="0" fontId="13" fillId="0" borderId="0" xfId="0" applyFont="1" applyAlignment="1">
      <alignment horizontal="left" vertical="center"/>
    </xf>
    <xf numFmtId="0" fontId="14" fillId="0" borderId="0" xfId="0" applyFont="1" applyAlignment="1">
      <alignment horizontal="left" vertical="top" wrapText="1"/>
    </xf>
    <xf numFmtId="0" fontId="10" fillId="0" borderId="0" xfId="0" applyFont="1" applyAlignment="1">
      <alignment vertical="top" wrapText="1"/>
    </xf>
    <xf numFmtId="0" fontId="13" fillId="0" borderId="0" xfId="0" applyFont="1" applyAlignment="1">
      <alignment horizontal="left" vertical="top" wrapText="1"/>
    </xf>
    <xf numFmtId="0" fontId="12" fillId="0" borderId="0" xfId="0" applyFont="1" applyAlignment="1"/>
    <xf numFmtId="0" fontId="15" fillId="0" borderId="0" xfId="0" applyFont="1" applyAlignment="1"/>
    <xf numFmtId="0" fontId="13"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1936750" cy="5524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1</xdr:row>
      <xdr:rowOff>0</xdr:rowOff>
    </xdr:from>
    <xdr:to>
      <xdr:col>1</xdr:col>
      <xdr:colOff>1047750</xdr:colOff>
      <xdr:row>1</xdr:row>
      <xdr:rowOff>310515</xdr:rowOff>
    </xdr:to>
    <xdr:pic>
      <xdr:nvPicPr>
        <xdr:cNvPr id="2" name="图片 1" descr="ShipSage-Logo-1"/>
        <xdr:cNvPicPr>
          <a:picLocks noChangeAspect="1"/>
        </xdr:cNvPicPr>
      </xdr:nvPicPr>
      <xdr:blipFill>
        <a:blip r:embed="rId1"/>
        <a:stretch>
          <a:fillRect/>
        </a:stretch>
      </xdr:blipFill>
      <xdr:spPr>
        <a:xfrm>
          <a:off x="171450" y="182880"/>
          <a:ext cx="1047750" cy="310515"/>
        </a:xfrm>
        <a:prstGeom prst="rect">
          <a:avLst/>
        </a:prstGeom>
      </xdr:spPr>
    </xdr:pic>
    <xdr:clientData/>
  </xdr:twoCellAnchor>
  <xdr:twoCellAnchor editAs="oneCell">
    <xdr:from>
      <xdr:col>0</xdr:col>
      <xdr:colOff>190500</xdr:colOff>
      <xdr:row>89</xdr:row>
      <xdr:rowOff>0</xdr:rowOff>
    </xdr:from>
    <xdr:to>
      <xdr:col>1</xdr:col>
      <xdr:colOff>1047750</xdr:colOff>
      <xdr:row>90</xdr:row>
      <xdr:rowOff>139065</xdr:rowOff>
    </xdr:to>
    <xdr:pic>
      <xdr:nvPicPr>
        <xdr:cNvPr id="3" name="图片 2" descr="ShipSage-Logo-1"/>
        <xdr:cNvPicPr>
          <a:picLocks noChangeAspect="1"/>
        </xdr:cNvPicPr>
      </xdr:nvPicPr>
      <xdr:blipFill>
        <a:blip r:embed="rId1"/>
        <a:stretch>
          <a:fillRect/>
        </a:stretch>
      </xdr:blipFill>
      <xdr:spPr>
        <a:xfrm>
          <a:off x="171450" y="18520410"/>
          <a:ext cx="1047750" cy="3219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topLeftCell="A8" workbookViewId="0">
      <selection activeCell="B11" sqref="B11:D11"/>
    </sheetView>
  </sheetViews>
  <sheetFormatPr defaultColWidth="9" defaultRowHeight="14.4" outlineLevelCol="4"/>
  <cols>
    <col min="1" max="1" width="9" style="19"/>
    <col min="2" max="2" width="67.1296296296296" style="19" customWidth="1"/>
    <col min="3" max="3" width="6.87962962962963" style="19" customWidth="1"/>
    <col min="4" max="4" width="63.6296296296296" style="19" customWidth="1"/>
    <col min="5" max="16384" width="9" style="19"/>
  </cols>
  <sheetData>
    <row r="2" ht="80.1" customHeight="1" spans="2:4">
      <c r="B2" s="20" t="s">
        <v>0</v>
      </c>
      <c r="C2" s="20"/>
      <c r="D2" s="20"/>
    </row>
    <row r="4" ht="21" spans="2:4">
      <c r="B4" s="21" t="s">
        <v>0</v>
      </c>
      <c r="C4" s="22"/>
      <c r="D4" s="23"/>
    </row>
    <row r="5" ht="21" spans="2:4">
      <c r="B5" s="23"/>
      <c r="C5" s="23"/>
      <c r="D5" s="24" t="s">
        <v>1</v>
      </c>
    </row>
    <row r="6" ht="42" spans="2:5">
      <c r="B6" s="22" t="s">
        <v>2</v>
      </c>
      <c r="C6" s="22"/>
      <c r="D6" s="25" t="s">
        <v>3</v>
      </c>
      <c r="E6" s="26"/>
    </row>
    <row r="7" ht="21" spans="2:5">
      <c r="B7" s="22"/>
      <c r="C7" s="22"/>
      <c r="D7" s="25" t="s">
        <v>4</v>
      </c>
      <c r="E7" s="26"/>
    </row>
    <row r="8" ht="42" spans="2:5">
      <c r="B8" s="22" t="s">
        <v>5</v>
      </c>
      <c r="C8" s="22"/>
      <c r="D8" s="27" t="s">
        <v>6</v>
      </c>
      <c r="E8" s="26"/>
    </row>
    <row r="9" ht="21" spans="2:5">
      <c r="B9" s="22"/>
      <c r="C9" s="22"/>
      <c r="D9" s="22"/>
      <c r="E9" s="26"/>
    </row>
    <row r="10" ht="21" spans="2:5">
      <c r="B10" s="28" t="s">
        <v>7</v>
      </c>
      <c r="C10" s="28"/>
      <c r="D10" s="28"/>
      <c r="E10" s="29"/>
    </row>
    <row r="11" ht="380" customHeight="1" spans="2:5">
      <c r="B11" s="30" t="s">
        <v>8</v>
      </c>
      <c r="C11" s="30"/>
      <c r="D11" s="30"/>
      <c r="E11" s="26"/>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2:L95"/>
  <sheetViews>
    <sheetView showGridLines="0" tabSelected="1" workbookViewId="0">
      <selection activeCell="F8" sqref="F8"/>
    </sheetView>
  </sheetViews>
  <sheetFormatPr defaultColWidth="9" defaultRowHeight="14.4"/>
  <cols>
    <col min="1" max="1" width="2.5" customWidth="1"/>
    <col min="2" max="5" width="25.6666666666667" customWidth="1"/>
    <col min="6" max="10" width="7.37962962962963" customWidth="1"/>
    <col min="11" max="11" width="4.25" customWidth="1"/>
    <col min="12" max="12" width="6.37962962962963" customWidth="1"/>
    <col min="13" max="13" width="9.12962962962963" customWidth="1"/>
    <col min="14" max="17" width="7" customWidth="1"/>
    <col min="18" max="21" width="7.37962962962963" customWidth="1"/>
  </cols>
  <sheetData>
    <row r="2" ht="80.1" customHeight="1" spans="2:5">
      <c r="B2" s="1" t="s">
        <v>9</v>
      </c>
      <c r="C2" s="1"/>
      <c r="D2" s="1"/>
      <c r="E2" s="1"/>
    </row>
    <row r="4" ht="21" spans="2:12">
      <c r="B4" s="2" t="s">
        <v>10</v>
      </c>
      <c r="L4" s="2"/>
    </row>
    <row r="5" ht="18" spans="2:4">
      <c r="B5" s="3" t="s">
        <v>11</v>
      </c>
      <c r="C5" s="4"/>
      <c r="D5" s="5" t="s">
        <v>12</v>
      </c>
    </row>
    <row r="6" ht="18" spans="2:5">
      <c r="B6" s="6" t="s">
        <v>13</v>
      </c>
      <c r="C6" s="6" t="s">
        <v>14</v>
      </c>
      <c r="D6" s="7" t="s">
        <v>15</v>
      </c>
      <c r="E6" s="8"/>
    </row>
    <row r="7" ht="15.6" spans="2:5">
      <c r="B7" s="9">
        <f t="shared" ref="B7:B21" si="0">C7/16</f>
        <v>0.0625</v>
      </c>
      <c r="C7" s="10">
        <v>1</v>
      </c>
      <c r="D7" s="11">
        <v>18.61</v>
      </c>
      <c r="E7" s="8"/>
    </row>
    <row r="8" ht="15.6" spans="2:5">
      <c r="B8" s="9">
        <f t="shared" si="0"/>
        <v>0.125</v>
      </c>
      <c r="C8" s="10">
        <v>2</v>
      </c>
      <c r="D8" s="11">
        <v>18.61</v>
      </c>
      <c r="E8" s="8"/>
    </row>
    <row r="9" ht="15.6" spans="2:5">
      <c r="B9" s="9">
        <f t="shared" si="0"/>
        <v>0.1875</v>
      </c>
      <c r="C9" s="10">
        <v>3</v>
      </c>
      <c r="D9" s="11">
        <v>18.61</v>
      </c>
      <c r="E9" s="8"/>
    </row>
    <row r="10" ht="15.6" spans="2:5">
      <c r="B10" s="9">
        <f t="shared" si="0"/>
        <v>0.25</v>
      </c>
      <c r="C10" s="10">
        <v>4</v>
      </c>
      <c r="D10" s="11">
        <v>18.61</v>
      </c>
      <c r="E10" s="12"/>
    </row>
    <row r="11" ht="15.6" spans="2:5">
      <c r="B11" s="9">
        <f t="shared" si="0"/>
        <v>0.3125</v>
      </c>
      <c r="C11" s="10">
        <v>5</v>
      </c>
      <c r="D11" s="11">
        <v>18.61</v>
      </c>
      <c r="E11" s="8"/>
    </row>
    <row r="12" ht="15.6" spans="2:5">
      <c r="B12" s="9">
        <f t="shared" si="0"/>
        <v>0.375</v>
      </c>
      <c r="C12" s="10">
        <v>6</v>
      </c>
      <c r="D12" s="11">
        <v>18.61</v>
      </c>
      <c r="E12" s="8"/>
    </row>
    <row r="13" ht="15.6" spans="2:5">
      <c r="B13" s="9">
        <f t="shared" si="0"/>
        <v>0.4375</v>
      </c>
      <c r="C13" s="10">
        <v>7</v>
      </c>
      <c r="D13" s="11">
        <v>18.61</v>
      </c>
      <c r="E13" s="8"/>
    </row>
    <row r="14" ht="15.6" spans="2:5">
      <c r="B14" s="9">
        <f t="shared" si="0"/>
        <v>0.5</v>
      </c>
      <c r="C14" s="10">
        <v>8</v>
      </c>
      <c r="D14" s="11">
        <v>18.61</v>
      </c>
      <c r="E14" s="8"/>
    </row>
    <row r="15" ht="15.6" spans="2:5">
      <c r="B15" s="9">
        <f t="shared" si="0"/>
        <v>0.5625</v>
      </c>
      <c r="C15" s="10">
        <v>9</v>
      </c>
      <c r="D15" s="11">
        <v>27.67</v>
      </c>
      <c r="E15" s="8"/>
    </row>
    <row r="16" ht="15.6" spans="2:5">
      <c r="B16" s="9">
        <f t="shared" si="0"/>
        <v>0.625</v>
      </c>
      <c r="C16" s="10">
        <v>10</v>
      </c>
      <c r="D16" s="11">
        <v>27.67</v>
      </c>
      <c r="E16" s="8"/>
    </row>
    <row r="17" ht="15.6" spans="2:5">
      <c r="B17" s="9">
        <f t="shared" si="0"/>
        <v>0.6875</v>
      </c>
      <c r="C17" s="10">
        <v>11</v>
      </c>
      <c r="D17" s="11">
        <v>27.67</v>
      </c>
      <c r="E17" s="8"/>
    </row>
    <row r="18" ht="15.6" spans="2:5">
      <c r="B18" s="9">
        <f t="shared" si="0"/>
        <v>0.75</v>
      </c>
      <c r="C18" s="10">
        <v>12</v>
      </c>
      <c r="D18" s="11">
        <v>27.67</v>
      </c>
      <c r="E18" s="8"/>
    </row>
    <row r="19" ht="15.6" spans="2:5">
      <c r="B19" s="9">
        <f t="shared" si="0"/>
        <v>0.8125</v>
      </c>
      <c r="C19" s="10">
        <v>13</v>
      </c>
      <c r="D19" s="11">
        <v>27.67</v>
      </c>
      <c r="E19" s="8"/>
    </row>
    <row r="20" ht="15.6" spans="2:5">
      <c r="B20" s="9">
        <f t="shared" si="0"/>
        <v>0.875</v>
      </c>
      <c r="C20" s="10">
        <v>14</v>
      </c>
      <c r="D20" s="11">
        <v>27.67</v>
      </c>
      <c r="E20" s="8"/>
    </row>
    <row r="21" ht="15.6" spans="2:5">
      <c r="B21" s="9">
        <f t="shared" si="0"/>
        <v>0.9375</v>
      </c>
      <c r="C21" s="10">
        <v>15</v>
      </c>
      <c r="D21" s="11">
        <v>27.67</v>
      </c>
      <c r="E21" s="8"/>
    </row>
    <row r="22" ht="15.6" spans="2:5">
      <c r="B22" s="10">
        <v>1</v>
      </c>
      <c r="C22" s="9">
        <f>B22*16</f>
        <v>16</v>
      </c>
      <c r="D22" s="11">
        <v>27.67</v>
      </c>
      <c r="E22" s="8"/>
    </row>
    <row r="23" ht="15.6" spans="2:5">
      <c r="B23" s="10">
        <v>2</v>
      </c>
      <c r="C23" s="9">
        <f>B23*16</f>
        <v>32</v>
      </c>
      <c r="D23" s="11">
        <v>27.67</v>
      </c>
      <c r="E23" s="8"/>
    </row>
    <row r="24" ht="15.6" spans="2:5">
      <c r="B24" s="10">
        <v>3</v>
      </c>
      <c r="C24" s="9">
        <f>B24*16</f>
        <v>48</v>
      </c>
      <c r="D24" s="11">
        <v>40.63</v>
      </c>
      <c r="E24" s="8"/>
    </row>
    <row r="25" ht="15.6" spans="2:5">
      <c r="B25" s="10">
        <v>4</v>
      </c>
      <c r="C25" s="9">
        <f>B25*16</f>
        <v>64</v>
      </c>
      <c r="D25" s="11">
        <v>41.84</v>
      </c>
      <c r="E25" s="8"/>
    </row>
    <row r="26" ht="15.6" spans="2:5">
      <c r="B26" s="10">
        <v>5</v>
      </c>
      <c r="C26" s="9">
        <f>B26*16</f>
        <v>80</v>
      </c>
      <c r="D26" s="11">
        <v>44.65</v>
      </c>
      <c r="E26" s="8"/>
    </row>
    <row r="27" ht="15.6" spans="2:5">
      <c r="B27" s="10">
        <v>6</v>
      </c>
      <c r="C27" s="9">
        <f>B27*16</f>
        <v>96</v>
      </c>
      <c r="D27" s="11">
        <v>47.44</v>
      </c>
      <c r="E27" s="8"/>
    </row>
    <row r="28" ht="15.6" spans="2:5">
      <c r="B28" s="10">
        <v>7</v>
      </c>
      <c r="C28" s="9">
        <f>B28*16</f>
        <v>112</v>
      </c>
      <c r="D28" s="11">
        <v>50.25</v>
      </c>
      <c r="E28" s="8"/>
    </row>
    <row r="29" ht="15.6" spans="2:5">
      <c r="B29" s="10">
        <v>8</v>
      </c>
      <c r="C29" s="9">
        <f>B29*16</f>
        <v>128</v>
      </c>
      <c r="D29" s="11">
        <v>53.04</v>
      </c>
      <c r="E29" s="8"/>
    </row>
    <row r="30" ht="15.6" spans="2:5">
      <c r="B30" s="10">
        <v>9</v>
      </c>
      <c r="C30" s="9">
        <f>B30*16</f>
        <v>144</v>
      </c>
      <c r="D30" s="11">
        <v>55.84</v>
      </c>
      <c r="E30" s="8"/>
    </row>
    <row r="31" ht="15.6" spans="2:5">
      <c r="B31" s="10">
        <v>10</v>
      </c>
      <c r="C31" s="9">
        <f>B31*16</f>
        <v>160</v>
      </c>
      <c r="D31" s="11">
        <v>57.92</v>
      </c>
      <c r="E31" s="8"/>
    </row>
    <row r="32" ht="15.6" spans="2:5">
      <c r="B32" s="10">
        <v>11</v>
      </c>
      <c r="C32" s="9">
        <f>B32*16</f>
        <v>176</v>
      </c>
      <c r="D32" s="11">
        <v>60.2</v>
      </c>
      <c r="E32" s="8"/>
    </row>
    <row r="33" ht="15.6" spans="2:5">
      <c r="B33" s="10">
        <v>12</v>
      </c>
      <c r="C33" s="9">
        <f>B33*16</f>
        <v>192</v>
      </c>
      <c r="D33" s="11">
        <v>62.51</v>
      </c>
      <c r="E33" s="8"/>
    </row>
    <row r="34" ht="15.6" spans="2:5">
      <c r="B34" s="10">
        <v>13</v>
      </c>
      <c r="C34" s="9">
        <f>B34*16</f>
        <v>208</v>
      </c>
      <c r="D34" s="11">
        <v>64.83</v>
      </c>
      <c r="E34" s="8"/>
    </row>
    <row r="35" ht="15.6" spans="2:5">
      <c r="B35" s="10">
        <v>14</v>
      </c>
      <c r="C35" s="9">
        <f>B35*16</f>
        <v>224</v>
      </c>
      <c r="D35" s="11">
        <v>67.13</v>
      </c>
      <c r="E35" s="8"/>
    </row>
    <row r="36" ht="15.6" spans="2:5">
      <c r="B36" s="10">
        <v>15</v>
      </c>
      <c r="C36" s="9">
        <f>B36*16</f>
        <v>240</v>
      </c>
      <c r="D36" s="11">
        <v>69.44</v>
      </c>
      <c r="E36" s="8"/>
    </row>
    <row r="37" ht="15.6" spans="2:5">
      <c r="B37" s="10">
        <v>16</v>
      </c>
      <c r="C37" s="9">
        <f>B37*16</f>
        <v>256</v>
      </c>
      <c r="D37" s="11">
        <v>71.75</v>
      </c>
      <c r="E37" s="8"/>
    </row>
    <row r="38" ht="15.6" spans="2:5">
      <c r="B38" s="10">
        <v>17</v>
      </c>
      <c r="C38" s="9">
        <f>B38*16</f>
        <v>272</v>
      </c>
      <c r="D38" s="11">
        <v>74.05</v>
      </c>
      <c r="E38" s="8"/>
    </row>
    <row r="39" ht="15.6" spans="2:5">
      <c r="B39" s="10">
        <v>18</v>
      </c>
      <c r="C39" s="9">
        <f>B39*16</f>
        <v>288</v>
      </c>
      <c r="D39" s="11">
        <v>76.36</v>
      </c>
      <c r="E39" s="8"/>
    </row>
    <row r="40" ht="15.6" spans="2:5">
      <c r="B40" s="10">
        <v>19</v>
      </c>
      <c r="C40" s="9">
        <f>B40*16</f>
        <v>304</v>
      </c>
      <c r="D40" s="11">
        <v>78.67</v>
      </c>
      <c r="E40" s="8"/>
    </row>
    <row r="41" ht="15.6" spans="2:5">
      <c r="B41" s="10">
        <v>20</v>
      </c>
      <c r="C41" s="9">
        <f>B41*16</f>
        <v>320</v>
      </c>
      <c r="D41" s="11">
        <v>80.97</v>
      </c>
      <c r="E41" s="8"/>
    </row>
    <row r="42" ht="15.6" spans="2:5">
      <c r="B42" s="10">
        <v>21</v>
      </c>
      <c r="C42" s="9">
        <f>B42*16</f>
        <v>336</v>
      </c>
      <c r="D42" s="11">
        <v>83.94</v>
      </c>
      <c r="E42" s="8"/>
    </row>
    <row r="43" ht="15.6" spans="2:5">
      <c r="B43" s="10">
        <v>22</v>
      </c>
      <c r="C43" s="9">
        <f>B43*16</f>
        <v>352</v>
      </c>
      <c r="D43" s="11">
        <v>86.92</v>
      </c>
      <c r="E43" s="8"/>
    </row>
    <row r="44" ht="15.6" spans="2:5">
      <c r="B44" s="10">
        <v>23</v>
      </c>
      <c r="C44" s="9">
        <f>B44*16</f>
        <v>368</v>
      </c>
      <c r="D44" s="11">
        <v>89.87</v>
      </c>
      <c r="E44" s="8"/>
    </row>
    <row r="45" ht="15.6" spans="2:5">
      <c r="B45" s="10">
        <v>24</v>
      </c>
      <c r="C45" s="9">
        <f>B45*16</f>
        <v>384</v>
      </c>
      <c r="D45" s="11">
        <v>92.84</v>
      </c>
      <c r="E45" s="8"/>
    </row>
    <row r="46" ht="15.6" spans="2:5">
      <c r="B46" s="10">
        <v>25</v>
      </c>
      <c r="C46" s="9">
        <f>B46*16</f>
        <v>400</v>
      </c>
      <c r="D46" s="11">
        <v>95.79</v>
      </c>
      <c r="E46" s="8"/>
    </row>
    <row r="47" ht="15.6" spans="2:5">
      <c r="B47" s="10">
        <v>26</v>
      </c>
      <c r="C47" s="9">
        <f>B47*16</f>
        <v>416</v>
      </c>
      <c r="D47" s="11">
        <v>98.76</v>
      </c>
      <c r="E47" s="8"/>
    </row>
    <row r="48" ht="15.6" spans="2:5">
      <c r="B48" s="10">
        <v>27</v>
      </c>
      <c r="C48" s="9">
        <f>B48*16</f>
        <v>432</v>
      </c>
      <c r="D48" s="11">
        <v>101.74</v>
      </c>
      <c r="E48" s="8"/>
    </row>
    <row r="49" ht="15.6" spans="2:5">
      <c r="B49" s="10">
        <v>28</v>
      </c>
      <c r="C49" s="9">
        <f>B49*16</f>
        <v>448</v>
      </c>
      <c r="D49" s="11">
        <v>104.69</v>
      </c>
      <c r="E49" s="8"/>
    </row>
    <row r="50" ht="15.6" spans="2:5">
      <c r="B50" s="10">
        <v>29</v>
      </c>
      <c r="C50" s="9">
        <f>B50*16</f>
        <v>464</v>
      </c>
      <c r="D50" s="11">
        <v>107.66</v>
      </c>
      <c r="E50" s="8"/>
    </row>
    <row r="51" ht="15.6" spans="2:5">
      <c r="B51" s="10">
        <v>30</v>
      </c>
      <c r="C51" s="9">
        <f>B51*16</f>
        <v>480</v>
      </c>
      <c r="D51" s="11">
        <v>110.61</v>
      </c>
      <c r="E51" s="8"/>
    </row>
    <row r="52" ht="15.6" spans="2:4">
      <c r="B52" s="10">
        <v>31</v>
      </c>
      <c r="C52" s="9">
        <f t="shared" ref="C52:C71" si="1">B52*16</f>
        <v>496</v>
      </c>
      <c r="D52" s="11">
        <v>112.88</v>
      </c>
    </row>
    <row r="53" ht="15.6" spans="2:4">
      <c r="B53" s="10">
        <v>32</v>
      </c>
      <c r="C53" s="9">
        <f t="shared" si="1"/>
        <v>512</v>
      </c>
      <c r="D53" s="11">
        <v>115.15</v>
      </c>
    </row>
    <row r="54" ht="15.6" spans="2:4">
      <c r="B54" s="10">
        <v>33</v>
      </c>
      <c r="C54" s="9">
        <f t="shared" si="1"/>
        <v>528</v>
      </c>
      <c r="D54" s="11">
        <v>117.4</v>
      </c>
    </row>
    <row r="55" ht="15.6" spans="2:4">
      <c r="B55" s="10">
        <v>34</v>
      </c>
      <c r="C55" s="9">
        <f t="shared" si="1"/>
        <v>544</v>
      </c>
      <c r="D55" s="11">
        <v>119.68</v>
      </c>
    </row>
    <row r="56" ht="15.6" spans="2:4">
      <c r="B56" s="10">
        <v>35</v>
      </c>
      <c r="C56" s="9">
        <f t="shared" si="1"/>
        <v>560</v>
      </c>
      <c r="D56" s="11">
        <v>121.95</v>
      </c>
    </row>
    <row r="57" ht="15.6" spans="2:4">
      <c r="B57" s="10">
        <v>36</v>
      </c>
      <c r="C57" s="9">
        <f t="shared" si="1"/>
        <v>576</v>
      </c>
      <c r="D57" s="11">
        <v>124.22</v>
      </c>
    </row>
    <row r="58" ht="15.6" spans="2:4">
      <c r="B58" s="10">
        <v>37</v>
      </c>
      <c r="C58" s="9">
        <f t="shared" si="1"/>
        <v>592</v>
      </c>
      <c r="D58" s="11">
        <v>126.48</v>
      </c>
    </row>
    <row r="59" ht="15.6" spans="2:4">
      <c r="B59" s="10">
        <v>38</v>
      </c>
      <c r="C59" s="9">
        <f t="shared" si="1"/>
        <v>608</v>
      </c>
      <c r="D59" s="11">
        <v>128.74</v>
      </c>
    </row>
    <row r="60" ht="15.6" spans="2:4">
      <c r="B60" s="10">
        <v>39</v>
      </c>
      <c r="C60" s="9">
        <f t="shared" si="1"/>
        <v>624</v>
      </c>
      <c r="D60" s="11">
        <v>131</v>
      </c>
    </row>
    <row r="61" ht="15.6" spans="2:4">
      <c r="B61" s="10">
        <v>40</v>
      </c>
      <c r="C61" s="9">
        <f t="shared" si="1"/>
        <v>640</v>
      </c>
      <c r="D61" s="11">
        <v>133.27</v>
      </c>
    </row>
    <row r="62" ht="15.6" spans="2:4">
      <c r="B62" s="10">
        <v>41</v>
      </c>
      <c r="C62" s="9">
        <f t="shared" si="1"/>
        <v>656</v>
      </c>
      <c r="D62" s="11">
        <v>135.4</v>
      </c>
    </row>
    <row r="63" ht="15.6" spans="2:4">
      <c r="B63" s="10">
        <v>42</v>
      </c>
      <c r="C63" s="9">
        <f t="shared" si="1"/>
        <v>672</v>
      </c>
      <c r="D63" s="11">
        <v>137.52</v>
      </c>
    </row>
    <row r="64" ht="15.6" spans="2:4">
      <c r="B64" s="10">
        <v>43</v>
      </c>
      <c r="C64" s="9">
        <f t="shared" si="1"/>
        <v>688</v>
      </c>
      <c r="D64" s="11">
        <v>139.66</v>
      </c>
    </row>
    <row r="65" ht="15.6" spans="2:4">
      <c r="B65" s="10">
        <v>44</v>
      </c>
      <c r="C65" s="9">
        <f t="shared" si="1"/>
        <v>704</v>
      </c>
      <c r="D65" s="11">
        <v>141.78</v>
      </c>
    </row>
    <row r="66" ht="15.6" spans="2:4">
      <c r="B66" s="10">
        <v>45</v>
      </c>
      <c r="C66" s="9">
        <f t="shared" si="1"/>
        <v>720</v>
      </c>
      <c r="D66" s="11">
        <v>143.91</v>
      </c>
    </row>
    <row r="67" ht="15.6" spans="2:4">
      <c r="B67" s="10">
        <v>46</v>
      </c>
      <c r="C67" s="9">
        <f t="shared" si="1"/>
        <v>736</v>
      </c>
      <c r="D67" s="11">
        <v>146.05</v>
      </c>
    </row>
    <row r="68" ht="15.6" spans="2:4">
      <c r="B68" s="10">
        <v>47</v>
      </c>
      <c r="C68" s="9">
        <f t="shared" si="1"/>
        <v>752</v>
      </c>
      <c r="D68" s="11">
        <v>148.17</v>
      </c>
    </row>
    <row r="69" ht="15.6" spans="2:4">
      <c r="B69" s="10">
        <v>48</v>
      </c>
      <c r="C69" s="9">
        <f t="shared" si="1"/>
        <v>768</v>
      </c>
      <c r="D69" s="11">
        <v>150.3</v>
      </c>
    </row>
    <row r="70" ht="15.6" spans="2:4">
      <c r="B70" s="10">
        <v>49</v>
      </c>
      <c r="C70" s="9">
        <f t="shared" si="1"/>
        <v>784</v>
      </c>
      <c r="D70" s="11">
        <v>152.43</v>
      </c>
    </row>
    <row r="71" ht="15.6" spans="2:4">
      <c r="B71" s="10">
        <v>50</v>
      </c>
      <c r="C71" s="9">
        <f t="shared" si="1"/>
        <v>800</v>
      </c>
      <c r="D71" s="11">
        <v>154.55</v>
      </c>
    </row>
    <row r="72" ht="15.6" spans="2:4">
      <c r="B72" s="10">
        <v>51</v>
      </c>
      <c r="C72" s="9">
        <f t="shared" ref="C72:C87" si="2">B72*16</f>
        <v>816</v>
      </c>
      <c r="D72" s="11">
        <v>156.74</v>
      </c>
    </row>
    <row r="73" ht="15.6" spans="2:4">
      <c r="B73" s="10">
        <v>52</v>
      </c>
      <c r="C73" s="9">
        <f t="shared" si="2"/>
        <v>832</v>
      </c>
      <c r="D73" s="11">
        <v>158.91</v>
      </c>
    </row>
    <row r="74" ht="15.6" spans="2:4">
      <c r="B74" s="10">
        <v>53</v>
      </c>
      <c r="C74" s="9">
        <f t="shared" si="2"/>
        <v>848</v>
      </c>
      <c r="D74" s="11">
        <v>161.07</v>
      </c>
    </row>
    <row r="75" ht="15.6" spans="2:4">
      <c r="B75" s="10">
        <v>54</v>
      </c>
      <c r="C75" s="9">
        <f t="shared" si="2"/>
        <v>864</v>
      </c>
      <c r="D75" s="11">
        <v>163.24</v>
      </c>
    </row>
    <row r="76" ht="15.6" spans="2:4">
      <c r="B76" s="10">
        <v>55</v>
      </c>
      <c r="C76" s="9">
        <f t="shared" si="2"/>
        <v>880</v>
      </c>
      <c r="D76" s="11">
        <v>165.42</v>
      </c>
    </row>
    <row r="77" ht="15.6" spans="2:4">
      <c r="B77" s="10">
        <v>56</v>
      </c>
      <c r="C77" s="9">
        <f t="shared" si="2"/>
        <v>896</v>
      </c>
      <c r="D77" s="11">
        <v>167.56</v>
      </c>
    </row>
    <row r="78" ht="15.6" spans="2:4">
      <c r="B78" s="10">
        <v>57</v>
      </c>
      <c r="C78" s="9">
        <f t="shared" si="2"/>
        <v>912</v>
      </c>
      <c r="D78" s="11">
        <v>169.75</v>
      </c>
    </row>
    <row r="79" ht="15.6" spans="2:4">
      <c r="B79" s="10">
        <v>58</v>
      </c>
      <c r="C79" s="9">
        <f t="shared" si="2"/>
        <v>928</v>
      </c>
      <c r="D79" s="11">
        <v>171.92</v>
      </c>
    </row>
    <row r="80" ht="15.6" spans="2:4">
      <c r="B80" s="10">
        <v>59</v>
      </c>
      <c r="C80" s="9">
        <f t="shared" si="2"/>
        <v>944</v>
      </c>
      <c r="D80" s="11">
        <v>174.09</v>
      </c>
    </row>
    <row r="81" ht="15.6" spans="2:4">
      <c r="B81" s="10">
        <v>60</v>
      </c>
      <c r="C81" s="9">
        <f t="shared" si="2"/>
        <v>960</v>
      </c>
      <c r="D81" s="11">
        <v>176.26</v>
      </c>
    </row>
    <row r="82" ht="15.6" spans="2:4">
      <c r="B82" s="10">
        <v>61</v>
      </c>
      <c r="C82" s="9">
        <f t="shared" si="2"/>
        <v>976</v>
      </c>
      <c r="D82" s="11">
        <v>177.86</v>
      </c>
    </row>
    <row r="83" ht="15.6" spans="2:4">
      <c r="B83" s="10">
        <v>62</v>
      </c>
      <c r="C83" s="9">
        <f t="shared" si="2"/>
        <v>992</v>
      </c>
      <c r="D83" s="11">
        <v>179.49</v>
      </c>
    </row>
    <row r="84" ht="15.6" spans="2:4">
      <c r="B84" s="10">
        <v>63</v>
      </c>
      <c r="C84" s="9">
        <f t="shared" si="2"/>
        <v>1008</v>
      </c>
      <c r="D84" s="11">
        <v>181.1</v>
      </c>
    </row>
    <row r="85" ht="15.6" spans="2:4">
      <c r="B85" s="10">
        <v>64</v>
      </c>
      <c r="C85" s="9">
        <f t="shared" si="2"/>
        <v>1024</v>
      </c>
      <c r="D85" s="11">
        <v>182.72</v>
      </c>
    </row>
    <row r="86" ht="15.6" spans="2:4">
      <c r="B86" s="10">
        <v>65</v>
      </c>
      <c r="C86" s="9">
        <f t="shared" si="2"/>
        <v>1040</v>
      </c>
      <c r="D86" s="11">
        <v>184.33</v>
      </c>
    </row>
    <row r="87" ht="15.6" spans="2:4">
      <c r="B87" s="10">
        <v>66</v>
      </c>
      <c r="C87" s="9">
        <f t="shared" si="2"/>
        <v>1056</v>
      </c>
      <c r="D87" s="11">
        <v>185.94</v>
      </c>
    </row>
    <row r="92" ht="21" spans="2:5">
      <c r="B92" s="13" t="s">
        <v>16</v>
      </c>
      <c r="C92" s="14"/>
      <c r="D92" s="15"/>
      <c r="E92" s="15"/>
    </row>
    <row r="93" ht="15.6" spans="2:5">
      <c r="B93" s="16" t="s">
        <v>17</v>
      </c>
      <c r="C93" s="16"/>
      <c r="D93" s="17"/>
      <c r="E93" s="17"/>
    </row>
    <row r="94" ht="15.6" spans="2:5">
      <c r="B94" s="16" t="s">
        <v>18</v>
      </c>
      <c r="C94" s="18"/>
      <c r="D94" s="17"/>
      <c r="E94" s="17"/>
    </row>
    <row r="95" ht="15.6" spans="2:5">
      <c r="B95" s="16" t="s">
        <v>19</v>
      </c>
      <c r="C95" s="18"/>
      <c r="D95" s="17"/>
      <c r="E95" s="17"/>
    </row>
  </sheetData>
  <mergeCells count="1">
    <mergeCell ref="B5:C5"/>
  </mergeCells>
  <pageMargins left="0.196527777777778" right="0.15625" top="0.314583333333333" bottom="0.236111111111111" header="0.156944444444444" footer="0.0777777777777778"/>
  <pageSetup paperSize="9" scale="65"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C45A6E-3CC1-4DD9-8250-E71C4CE9369B}">
  <ds:schemaRefs/>
</ds:datastoreItem>
</file>

<file path=customXml/itemProps2.xml><?xml version="1.0" encoding="utf-8"?>
<ds:datastoreItem xmlns:ds="http://schemas.openxmlformats.org/officeDocument/2006/customXml" ds:itemID="{A0161503-BB79-4094-AB48-32C9921C6DD7}">
  <ds:schemaRefs/>
</ds:datastoreItem>
</file>

<file path=customXml/itemProps3.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Introduction</vt:lpstr>
      <vt:lpstr>International Service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乖，摸摸头。</cp:lastModifiedBy>
  <dcterms:created xsi:type="dcterms:W3CDTF">2021-04-07T05:35:00Z</dcterms:created>
  <dcterms:modified xsi:type="dcterms:W3CDTF">2024-12-16T07:54:02Z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7002CB265A9B4F81A1C33DDB6EF764B4_13</vt:lpwstr>
  </property>
  <property fmtid="{D5CDD505-2E9C-101B-9397-08002B2CF9AE}" pid="11" name="KSOReadingLayout">
    <vt:bool>false</vt:bool>
  </property>
</Properties>
</file>