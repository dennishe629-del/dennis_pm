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firstSheet="2" activeTab="7"/>
  </bookViews>
  <sheets>
    <sheet name="更新汇总" sheetId="3" r:id="rId1"/>
    <sheet name="USPS" sheetId="5" r:id="rId2"/>
    <sheet name="FG-附加费" sheetId="6" r:id="rId3"/>
    <sheet name="FGE" sheetId="7" r:id="rId4"/>
    <sheet name="UPS Next Day Air" sheetId="1" r:id="rId5"/>
    <sheet name="UPS 2nd Day Air" sheetId="2" r:id="rId6"/>
    <sheet name="next day和2nd的附加费" sheetId="4" r:id="rId7"/>
    <sheet name="1.19新-FG-附加费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<sst xmlns="http://schemas.openxmlformats.org/spreadsheetml/2006/main" count="534" uniqueCount="298">
  <si>
    <t>客户报价版本</t>
  </si>
  <si>
    <t>VIP等级</t>
  </si>
  <si>
    <t>具体报价编号</t>
  </si>
  <si>
    <t>报价类型</t>
  </si>
  <si>
    <t>S1</t>
  </si>
  <si>
    <t>S1标准价格-2025010601</t>
  </si>
  <si>
    <t>FG和AMZ价格为S1，其余所有产品为公布价</t>
  </si>
  <si>
    <t>S2</t>
  </si>
  <si>
    <t>S2标准价-2025010601</t>
  </si>
  <si>
    <t>FG和AMZ价格为S2，其余所有产品为公布价</t>
  </si>
  <si>
    <t>S3</t>
  </si>
  <si>
    <t>S3标准价-2025010601</t>
  </si>
  <si>
    <t>FG和AMZ价格为S3，其余所有产品为公布价</t>
  </si>
  <si>
    <t>OE价格-2025010601</t>
  </si>
  <si>
    <t>除UG和FGE，其他均为OE版本</t>
  </si>
  <si>
    <t>S1小件折扣价格-2025010602</t>
  </si>
  <si>
    <t>USPS为OE价格，其余所有产品为S1</t>
  </si>
  <si>
    <t>S2小件折扣价-2025010602</t>
  </si>
  <si>
    <t>USPS为OE价格，其余所有产品为S2</t>
  </si>
  <si>
    <t>VIP</t>
  </si>
  <si>
    <t>USPS、FGE为公布价，其余价格为VIP</t>
  </si>
  <si>
    <t>Important(BEST SELLER)</t>
  </si>
  <si>
    <t>BEST SELLER</t>
  </si>
  <si>
    <t>USPS、FGE为公布价，其余价格为BEST SELLER</t>
  </si>
  <si>
    <t>Member(WHOLESALE)</t>
  </si>
  <si>
    <t>WHOLESALE</t>
  </si>
  <si>
    <t>USPS、FGE为公布价，其余价格为WHOLESALE</t>
  </si>
  <si>
    <t>Ultra</t>
  </si>
  <si>
    <t>USPS、FGE为公布价，其余价格为Ultra</t>
  </si>
  <si>
    <t>以下为目前CN和US所有已上线物流产品（不含Gaatu）</t>
  </si>
  <si>
    <t>更新前物流产品名称</t>
  </si>
  <si>
    <t>更新后物流产品名称</t>
  </si>
  <si>
    <t>更新报价时候会用到的简称（不对外，对内）</t>
  </si>
  <si>
    <t>适用客户</t>
  </si>
  <si>
    <t>适用报价版本</t>
  </si>
  <si>
    <t>是否需要更新物流产品名称</t>
  </si>
  <si>
    <t>SG Parcel</t>
  </si>
  <si>
    <t>USPS</t>
  </si>
  <si>
    <t>一件代发使用</t>
  </si>
  <si>
    <t>CN ALL&amp;US ALL</t>
  </si>
  <si>
    <t>中美所有版本</t>
  </si>
  <si>
    <t>是</t>
  </si>
  <si>
    <t>UniUni</t>
  </si>
  <si>
    <t>CN ALL</t>
  </si>
  <si>
    <t>否</t>
  </si>
  <si>
    <t>GOFO</t>
  </si>
  <si>
    <t>GOFO Parcel</t>
  </si>
  <si>
    <t>SG Ground/转运 退件FedEx</t>
  </si>
  <si>
    <t>FedEx Ground</t>
  </si>
  <si>
    <t>FG</t>
  </si>
  <si>
    <t>一件代发使用&amp;转运</t>
  </si>
  <si>
    <t>转运UPS Ground</t>
  </si>
  <si>
    <t>UPS Ground</t>
  </si>
  <si>
    <t>UG</t>
  </si>
  <si>
    <t>Amazon Shipping</t>
  </si>
  <si>
    <t>AMZ</t>
  </si>
  <si>
    <t>FedEx Ground Economy</t>
  </si>
  <si>
    <t>FGE</t>
  </si>
  <si>
    <t>CN ALL &amp; US指定客户</t>
  </si>
  <si>
    <t>GOFO GROUND</t>
  </si>
  <si>
    <t>CN指定客户</t>
  </si>
  <si>
    <t>CN ALL版本</t>
  </si>
  <si>
    <t>Fimile Ground</t>
  </si>
  <si>
    <t>Fimile</t>
  </si>
  <si>
    <t>UPS Next Day Air</t>
  </si>
  <si>
    <t>Next Day</t>
  </si>
  <si>
    <t>reship使用</t>
  </si>
  <si>
    <t>UPS 2nd Day Air</t>
  </si>
  <si>
    <t>2nd Day</t>
  </si>
  <si>
    <t>FedEx 2Day</t>
  </si>
  <si>
    <t>指定SKU使用</t>
  </si>
  <si>
    <t>US指定客户</t>
  </si>
  <si>
    <t>US ALL版本</t>
  </si>
  <si>
    <t>报价更新说明</t>
  </si>
  <si>
    <t>一、尾程产品组</t>
  </si>
  <si>
    <t>报价更新内容（具体生效时间，报价版本以及金额参考《更新明细》</t>
  </si>
  <si>
    <t>一、Shipping fee</t>
  </si>
  <si>
    <t>产品名称</t>
  </si>
  <si>
    <t>code</t>
  </si>
  <si>
    <t>费用项名称</t>
  </si>
  <si>
    <t>生效时间</t>
  </si>
  <si>
    <t>具体内容路径</t>
  </si>
  <si>
    <t>AHC</t>
  </si>
  <si>
    <t>操作附加费：不规则</t>
  </si>
  <si>
    <t>《USPS》</t>
  </si>
  <si>
    <t>DNC</t>
  </si>
  <si>
    <t>尺寸不合规费</t>
  </si>
  <si>
    <t>NLL</t>
  </si>
  <si>
    <t>非标准附加费：最长边&gt;30英寸</t>
  </si>
  <si>
    <t>NPV</t>
  </si>
  <si>
    <t>非标准附加费： 体积&gt;3456立方英寸</t>
  </si>
  <si>
    <t>NSL</t>
  </si>
  <si>
    <t>非标准附加费：最长边&gt;22英寸，且≤30英寸</t>
  </si>
  <si>
    <t>ADS（新增）</t>
  </si>
  <si>
    <t>成人签名</t>
  </si>
  <si>
    <t>CSG、DCS（新增）</t>
  </si>
  <si>
    <t>一般签名</t>
  </si>
  <si>
    <t>基础运费</t>
  </si>
  <si>
    <t>附加费（除了旺季和SCC基本都要更新，具体以标红为准）</t>
  </si>
  <si>
    <t>《FG-附加费》</t>
  </si>
  <si>
    <t>基础运费+附加费（除了旺季，具体以标红为准）</t>
  </si>
  <si>
    <t>《FGE》</t>
  </si>
  <si>
    <t>基础运费+附加费（除了旺季和SCC基本都要更新，具体以标红为准）</t>
  </si>
  <si>
    <t>《UPS Next Day Air》&amp;《next day和2nd的附加费》</t>
  </si>
  <si>
    <t>《UPS 2nd Day Air》&amp;《next day和2nd的附加费》</t>
  </si>
  <si>
    <t>Weight</t>
  </si>
  <si>
    <t>Zone</t>
  </si>
  <si>
    <t>报价编号</t>
  </si>
  <si>
    <t>Charge</t>
  </si>
  <si>
    <t>Description</t>
  </si>
  <si>
    <t>Fee</t>
  </si>
  <si>
    <t>fee  code</t>
  </si>
  <si>
    <t>lb</t>
  </si>
  <si>
    <t>oz</t>
  </si>
  <si>
    <t>Billable Weight</t>
  </si>
  <si>
    <t>For parcels &lt;= 1728 cubic inch: Billable weight is actual weight
For parcels &gt; 1728 cubic inch: Billable weight is the greater of actual weight and dimensional weight
Dimensional weight (lbs) = Length × Width × Height (inches) / 166</t>
  </si>
  <si>
    <t>-</t>
  </si>
  <si>
    <t>Size and Weight Limitations</t>
  </si>
  <si>
    <t>1. Maximum parcel weight is 70 pounds</t>
  </si>
  <si>
    <t>2. Length + 2*Width +2*Height ≤ 108 inches</t>
  </si>
  <si>
    <t>3. Minimum dimensions limit: 6*4*0.5 inches</t>
  </si>
  <si>
    <t>Nonstandard  Fees</t>
  </si>
  <si>
    <t>1. Parcels that exceed 22 inches but not greater than 30 inches in length</t>
  </si>
  <si>
    <t>2. Parcels that exceed 30 inches in length</t>
  </si>
  <si>
    <t>3. Parcels that exceed 2 cubic feet (3456 cubic inches)</t>
  </si>
  <si>
    <t>Dimension Noncompliance Fee</t>
  </si>
  <si>
    <t>Parcels that are greater than one cubic foot or with a length greater than 22 inches, or provide inaccurate dimensions</t>
  </si>
  <si>
    <t>Signature Service</t>
  </si>
  <si>
    <t>General Signature</t>
  </si>
  <si>
    <r>
      <rPr>
        <sz val="11"/>
        <color rgb="FFFF0000"/>
        <rFont val="Calibri"/>
        <charset val="134"/>
      </rPr>
      <t>ADS</t>
    </r>
    <r>
      <rPr>
        <sz val="11"/>
        <color rgb="FFFF0000"/>
        <rFont val="宋体"/>
        <charset val="134"/>
      </rPr>
      <t>（新增）</t>
    </r>
  </si>
  <si>
    <t>Adult Signature</t>
  </si>
  <si>
    <r>
      <rPr>
        <sz val="11"/>
        <color rgb="FFFF0000"/>
        <rFont val="Calibri"/>
        <charset val="134"/>
      </rPr>
      <t>CSG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libri"/>
        <charset val="134"/>
      </rPr>
      <t>DCS</t>
    </r>
    <r>
      <rPr>
        <sz val="11"/>
        <color rgb="FFFF0000"/>
        <rFont val="宋体"/>
        <charset val="134"/>
      </rPr>
      <t>（新增）</t>
    </r>
  </si>
  <si>
    <t>Demand Surcharge</t>
  </si>
  <si>
    <t>2025.10.5-2026.1.18</t>
  </si>
  <si>
    <t>Billable Weight（lbs)</t>
  </si>
  <si>
    <t>zone 1-4</t>
  </si>
  <si>
    <t>zone 5-9</t>
  </si>
  <si>
    <t>0-3lbs</t>
  </si>
  <si>
    <t>4-10lbs</t>
  </si>
  <si>
    <t>11-25lbs</t>
  </si>
  <si>
    <t>26-70lbs</t>
  </si>
  <si>
    <t>Remote Surcharge</t>
  </si>
  <si>
    <t>Additional fee for shipments to offshore areas such as AK, HI, PR, VI, etc.</t>
  </si>
  <si>
    <t>Nonstandard Characteristic fee</t>
  </si>
  <si>
    <t>Parcels that contain any of the following characteristics
a. Cylindrical tubes or rolls
b. A can, or wooden or metal box
c. A parcel containing more than 24 ounces of liquid in glass containers, or 1 gallon or more of liquid in metal or plastic containers
d. Other</t>
  </si>
  <si>
    <t>费用名称</t>
  </si>
  <si>
    <t>fee code</t>
  </si>
  <si>
    <t>Ultra price</t>
  </si>
  <si>
    <t>住宅派送费（Residential Delivery Charge）</t>
  </si>
  <si>
    <t>RES</t>
  </si>
  <si>
    <t>商业偏远</t>
  </si>
  <si>
    <t>RDC</t>
  </si>
  <si>
    <t>商业超偏远</t>
  </si>
  <si>
    <t>LDC</t>
  </si>
  <si>
    <t>Remote（Ground）</t>
  </si>
  <si>
    <t>CAC/CAR</t>
  </si>
  <si>
    <t>住宅偏远</t>
  </si>
  <si>
    <t>RDR</t>
  </si>
  <si>
    <t>住宅超偏远</t>
  </si>
  <si>
    <t>LD</t>
  </si>
  <si>
    <t>超重（AHS--Weight）</t>
  </si>
  <si>
    <t>AHW-1（zone2）</t>
  </si>
  <si>
    <t>AHW-2（zone3-zone4）</t>
  </si>
  <si>
    <t>AHW-3（zone5-zone6）</t>
  </si>
  <si>
    <t>AHW-4（zone7+）</t>
  </si>
  <si>
    <t>超尺寸（AHS--Dimension）</t>
  </si>
  <si>
    <t>AHL-1/AHS-1/AHG-1（zone2）</t>
  </si>
  <si>
    <t>忘记提供：AHV</t>
  </si>
  <si>
    <t>AHL-2/AHS-2/AHG-2（zone3-zone4）</t>
  </si>
  <si>
    <t>AHL-3/AHS-3/AHG-3（zone5-zone6）</t>
  </si>
  <si>
    <t>AHL-4/AHS-4/AHG-4（zone7+）</t>
  </si>
  <si>
    <t>不规则包装（AHS--Packaging）</t>
  </si>
  <si>
    <t>AHC-1（zone2）</t>
  </si>
  <si>
    <t>AHC-2（zone3-zone4）</t>
  </si>
  <si>
    <t>AHC-3（zone5-zone6）</t>
  </si>
  <si>
    <t>AHC-4（zone7+）</t>
  </si>
  <si>
    <t>超长超大（Oversize Charge ）-商业</t>
  </si>
  <si>
    <t>LLC-1/LPS-1（zone2）</t>
  </si>
  <si>
    <t>忘记提供：LWS/LVS</t>
  </si>
  <si>
    <t>LLC-2/LPS-2（zone3-zone4）</t>
  </si>
  <si>
    <t>LLC-3/LPS-3（zone5-zone6）</t>
  </si>
  <si>
    <t>LLC-4/LPS-4（zone7+）</t>
  </si>
  <si>
    <t>超长超大（Oversize Charge ）-住宅</t>
  </si>
  <si>
    <t>LLR-1/LPR-1（zone2）</t>
  </si>
  <si>
    <t>忘记提供：LWR/LVR</t>
  </si>
  <si>
    <t>LLR-2/LPR-2（zone3-zone4）</t>
  </si>
  <si>
    <t>LLR-3/LPR-3（zone5-zone6）</t>
  </si>
  <si>
    <t>LLR-4/LPR-4（zone7+）</t>
  </si>
  <si>
    <t>超限（Unauthorized Package）</t>
  </si>
  <si>
    <t>OML，OVR，OVX,OVX-2</t>
  </si>
  <si>
    <t>改地址（Address Correction）</t>
  </si>
  <si>
    <t>ADC</t>
  </si>
  <si>
    <t>签名（Delivery Signature Options）</t>
  </si>
  <si>
    <t>DCS/CSG（一般签名）</t>
  </si>
  <si>
    <t>ADS（成人签名）</t>
  </si>
  <si>
    <t>AHS订单收取旺季费（Demand Additional Handling fee）
收费时间&amp;金额如右侧</t>
  </si>
  <si>
    <t>SAH（2025.12.29-2026.1.18）</t>
  </si>
  <si>
    <t>Oversize订单收取旺季费（Demand Oversize fee）
收费时间&amp;金额如右侧</t>
  </si>
  <si>
    <t>SLP（2025.12.29-2026.1.18）</t>
  </si>
  <si>
    <t>不可发订单收取旺季费（Demand Unauthorized  fee）
收费时间&amp;金额如右侧</t>
  </si>
  <si>
    <t>SOV（2025.12.29-2026.1.18）</t>
  </si>
  <si>
    <t>住宅订单收取旺季费（Demand residential delivery charge per package）
收费时间&amp;金额如右侧</t>
  </si>
  <si>
    <t>PSR（2025.12.29-2026.1.18）</t>
  </si>
  <si>
    <r>
      <rPr>
        <sz val="11"/>
        <color theme="1"/>
        <rFont val="Calibri"/>
        <charset val="134"/>
      </rPr>
      <t xml:space="preserve">Billable weight is the greater of actual weight and dimensional weight
 Dimensional weight (lbs) = Length × Width × Height (inches) / </t>
    </r>
    <r>
      <rPr>
        <b/>
        <sz val="11"/>
        <color theme="1"/>
        <rFont val="Calibri"/>
        <charset val="134"/>
      </rPr>
      <t>194</t>
    </r>
  </si>
  <si>
    <t>1. Length + 2*Width +2*Height ≤ 130 inches</t>
  </si>
  <si>
    <t>2.Length &gt; 60 inches</t>
  </si>
  <si>
    <t>4. Maximum billed weight is 9 pounds</t>
  </si>
  <si>
    <t>Fuel Surcharge</t>
  </si>
  <si>
    <t>Based on all charges except for Shipping Charge Correction Audit Fee, subject to Ground rate calculations
Please refer to the link below for details:</t>
  </si>
  <si>
    <t>https://www.fedex.com/en-us/shipping/fuel-surcharge.html</t>
  </si>
  <si>
    <t>Delivery Area Surcharge</t>
  </si>
  <si>
    <t>Subject to zip codes within the Delivery Area</t>
  </si>
  <si>
    <t>Extend Delivery Area Surcharge</t>
  </si>
  <si>
    <t>Subject to zip codes within the Extend Delivery Area</t>
  </si>
  <si>
    <t>Non-Machinable</t>
  </si>
  <si>
    <t>1. Any item with one dimension measuring more than 27 inches.</t>
  </si>
  <si>
    <t>2. Any item with any two dimensions each measuring more than 17 inches.</t>
  </si>
  <si>
    <t>3.Any item weighing over 35 lbs.</t>
  </si>
  <si>
    <t>4.Any item packaged in a cylindrical shipping tube.</t>
  </si>
  <si>
    <t>Package Relabel</t>
  </si>
  <si>
    <t>A per-package surcharge will be assessed on packages that do not conform to
specifications that require overlabel or hand key.</t>
  </si>
  <si>
    <t>2025.11.10-2025.11.23</t>
  </si>
  <si>
    <t>2025.11.24-2025.12.28</t>
  </si>
  <si>
    <t>2025.12.29-2026.1.18</t>
  </si>
  <si>
    <r>
      <rPr>
        <b/>
        <sz val="16"/>
        <color theme="8" tint="-0.249977111117893"/>
        <rFont val="SimSun"/>
        <charset val="134"/>
      </rPr>
      <t>※</t>
    </r>
    <r>
      <rPr>
        <b/>
        <sz val="16"/>
        <color theme="8" tint="-0.249977111117893"/>
        <rFont val="Calibri"/>
        <charset val="134"/>
      </rPr>
      <t xml:space="preserve"> Accessorials</t>
    </r>
  </si>
  <si>
    <t>UPS Next Day Air and UPS 2nd Day Air</t>
  </si>
  <si>
    <r>
      <rPr>
        <sz val="11"/>
        <color theme="1"/>
        <rFont val="Calibri"/>
        <charset val="134"/>
      </rPr>
      <t>Billable weight is the greater of actual weight and dimensional weight
Dimensional weight (lbs) = Length × Width × Height (inches) /</t>
    </r>
    <r>
      <rPr>
        <b/>
        <sz val="11"/>
        <color theme="1"/>
        <rFont val="Calibri"/>
        <charset val="134"/>
      </rPr>
      <t xml:space="preserve"> 139</t>
    </r>
  </si>
  <si>
    <t>https://www.ups.com/us/en/support/shipping-support/shipping-costs-rates/fuel-surcharges.page</t>
  </si>
  <si>
    <t>Residential Surcharge</t>
  </si>
  <si>
    <t>Applicable for deliveries to residential addresses; fee adjustments align with service provider billing</t>
  </si>
  <si>
    <t>Commercial</t>
  </si>
  <si>
    <t>Residential</t>
  </si>
  <si>
    <t>LDR</t>
  </si>
  <si>
    <t>Remote Area Surcharge</t>
  </si>
  <si>
    <t>Subject to zip codes within the Remote Area</t>
  </si>
  <si>
    <t>Additional Handling-Weight
(Demand Surcharge will be added)</t>
  </si>
  <si>
    <t>Actual weight &gt; 50 pounds</t>
  </si>
  <si>
    <t>zone 2</t>
  </si>
  <si>
    <t>AHW</t>
  </si>
  <si>
    <t>zone 3-4</t>
  </si>
  <si>
    <t>zone 5-6</t>
  </si>
  <si>
    <t>zone 7-8</t>
  </si>
  <si>
    <t>Additional Handling-Dimension
(Demand Surcharge will be added)</t>
  </si>
  <si>
    <r>
      <rPr>
        <sz val="11"/>
        <color theme="1"/>
        <rFont val="Calibri"/>
        <charset val="134"/>
      </rPr>
      <t xml:space="preserve">Charges apply if any of the following conditions are met:
1. Longest side &gt; 48 inches and ≤ 96 inches
2. Width &gt; 30 inches
</t>
    </r>
    <r>
      <rPr>
        <sz val="11"/>
        <rFont val="Calibri"/>
        <charset val="134"/>
      </rPr>
      <t xml:space="preserve">3. Length + 2*Width + 2*Height &gt; 105 inches
</t>
    </r>
    <r>
      <rPr>
        <sz val="11"/>
        <color rgb="FFFF0000"/>
        <rFont val="Calibri"/>
        <charset val="134"/>
      </rPr>
      <t xml:space="preserve">4. Length *Width *Height &gt; 10368 cubic inches
</t>
    </r>
    <r>
      <rPr>
        <sz val="11"/>
        <rFont val="Calibri"/>
        <charset val="134"/>
      </rPr>
      <t>The minimum billable weight for Additional Handling-Dimension Surcharge is 40 pounds</t>
    </r>
  </si>
  <si>
    <r>
      <rPr>
        <sz val="11"/>
        <rFont val="Calibri"/>
        <charset val="134"/>
      </rPr>
      <t>AHL/AHS/AHG/</t>
    </r>
    <r>
      <rPr>
        <sz val="11"/>
        <color rgb="FFFF0000"/>
        <rFont val="Calibri"/>
        <charset val="134"/>
      </rPr>
      <t>AHV</t>
    </r>
  </si>
  <si>
    <t>Additional Handling-Packaging
(Demand Surcharge will be added)</t>
  </si>
  <si>
    <t>Irregular Package: an item without a corrugated cardboard, for unusual package types like tubes, wooden crates, tires, hard plastic, soft plastic,etc.</t>
  </si>
  <si>
    <t>Large Package Surcharge-Commercial
(Demand Surcharge will be added)</t>
  </si>
  <si>
    <r>
      <rPr>
        <sz val="11"/>
        <rFont val="Calibri"/>
        <charset val="134"/>
      </rPr>
      <t xml:space="preserve">Commercial Addresses - Charges apply if any of the following conditions are met:
1. Longest side &gt; 96 inches
2. Length + 2*Width + 2*Height &gt; 130 inches
</t>
    </r>
    <r>
      <rPr>
        <sz val="11"/>
        <color rgb="FFFF0000"/>
        <rFont val="Calibri"/>
        <charset val="134"/>
      </rPr>
      <t>3. Length*Width*Height &gt;17,280 cubic inches
4.Actual weight &gt; 110 pounds</t>
    </r>
    <r>
      <rPr>
        <sz val="11"/>
        <rFont val="Calibri"/>
        <charset val="134"/>
      </rPr>
      <t xml:space="preserve">
The minimum billable weight for Large Package Surcharge is 90 pounds
No Additional Handling charge for packages already subjected to Large Package Surcharge</t>
    </r>
  </si>
  <si>
    <r>
      <rPr>
        <sz val="9"/>
        <rFont val="微软雅黑"/>
        <charset val="134"/>
      </rPr>
      <t>LLC/LPS/</t>
    </r>
    <r>
      <rPr>
        <sz val="9"/>
        <color rgb="FFFF0000"/>
        <rFont val="微软雅黑"/>
        <charset val="134"/>
      </rPr>
      <t>LWS/LVS</t>
    </r>
  </si>
  <si>
    <t>Large Package Surcharge-Residential
(Demand Surcharge will be added)</t>
  </si>
  <si>
    <r>
      <rPr>
        <sz val="11"/>
        <color theme="1"/>
        <rFont val="Calibri"/>
        <charset val="134"/>
      </rPr>
      <t>Residential  Addresses - Charges apply if any of the following conditions are met:
1. Longest side &gt; 96 inches
2. Length + 2*Width + 2*Height &gt; 130 inches</t>
    </r>
    <r>
      <rPr>
        <sz val="11"/>
        <color rgb="FFFF0000"/>
        <rFont val="Calibri"/>
        <charset val="134"/>
      </rPr>
      <t xml:space="preserve">
3. Length*Width*Height &gt;17,280 cubic inches
4.Actual weight &gt; 110 pounds</t>
    </r>
    <r>
      <rPr>
        <sz val="11"/>
        <color theme="1"/>
        <rFont val="Calibri"/>
        <charset val="134"/>
      </rPr>
      <t xml:space="preserve">
The minimum billable weight for Large Package Surcharge is 90 pounds
No Additional Handling charge for packages already subjected to Large Package Surcharge</t>
    </r>
  </si>
  <si>
    <r>
      <rPr>
        <sz val="11"/>
        <rFont val="Calibri"/>
        <charset val="134"/>
      </rPr>
      <t>LLR/LPR</t>
    </r>
    <r>
      <rPr>
        <sz val="11"/>
        <color rgb="FFFF0000"/>
        <rFont val="Calibri"/>
        <charset val="134"/>
      </rPr>
      <t>/LWR/LVR</t>
    </r>
  </si>
  <si>
    <t>Over Maximum Limits
(Demand Surcharge will be added)</t>
  </si>
  <si>
    <t>Charges apply if any of the following conditions are met:
1.  Actual weight of &gt; 150 pounds
2. Longest side &gt; 108 inches
3. Length + 2*Width + 2*Height &gt; 165 inches
Packages exceeding the limits, the carrier may refuse and return them
If a package meets both Large Package and Over Maximum Limits, both charges apply, with Demand Surcharge added</t>
  </si>
  <si>
    <r>
      <rPr>
        <sz val="11"/>
        <rFont val="Calibri"/>
        <charset val="134"/>
      </rPr>
      <t>OML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OVR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OVX,OVX-2</t>
    </r>
  </si>
  <si>
    <t>Demand Surcharge-Additional Handling</t>
  </si>
  <si>
    <t>2025.11.23-2025.12.27</t>
  </si>
  <si>
    <t>没更新</t>
  </si>
  <si>
    <t>2025.12.28-2026.1.17</t>
  </si>
  <si>
    <t>2026.1.18-TBD</t>
  </si>
  <si>
    <t>TBD</t>
  </si>
  <si>
    <t>Demand Surcharge-Large Package</t>
  </si>
  <si>
    <t>Demand Surcharge-Over Maximum Limits</t>
  </si>
  <si>
    <t>Residential Demand Surcharge</t>
  </si>
  <si>
    <t>Address Correction</t>
  </si>
  <si>
    <t>An address validated by the logistics service provider may be incorrect or incomplete for purposes of completing delivery and may be corrected by the logistics service provider</t>
  </si>
  <si>
    <t>Delivery Intercept</t>
  </si>
  <si>
    <t>Return to sender or reroute to new address</t>
  </si>
  <si>
    <r>
      <rPr>
        <sz val="11"/>
        <rFont val="Calibri"/>
        <charset val="134"/>
      </rPr>
      <t>IRW</t>
    </r>
    <r>
      <rPr>
        <sz val="11"/>
        <rFont val="宋体"/>
        <charset val="134"/>
      </rPr>
      <t>、</t>
    </r>
    <r>
      <rPr>
        <sz val="11"/>
        <rFont val="Calibri"/>
        <charset val="134"/>
      </rPr>
      <t>ISW</t>
    </r>
  </si>
  <si>
    <t>General Signature or Adult Signature</t>
  </si>
  <si>
    <t>General Signature: $7.7</t>
  </si>
  <si>
    <r>
      <rPr>
        <sz val="11"/>
        <rFont val="Calibri"/>
        <charset val="134"/>
      </rPr>
      <t>DCS/CSG</t>
    </r>
    <r>
      <rPr>
        <sz val="11"/>
        <rFont val="宋体"/>
        <charset val="134"/>
      </rPr>
      <t>（一般签名）</t>
    </r>
  </si>
  <si>
    <t>Adult Signature: $9.35</t>
  </si>
  <si>
    <r>
      <rPr>
        <sz val="11"/>
        <rFont val="Calibri"/>
        <charset val="134"/>
      </rPr>
      <t>ADS</t>
    </r>
    <r>
      <rPr>
        <sz val="11"/>
        <color theme="1"/>
        <rFont val="宋体"/>
        <charset val="134"/>
      </rPr>
      <t>（成人签名）</t>
    </r>
  </si>
  <si>
    <t>Return shipping fee</t>
  </si>
  <si>
    <t>failed deliveries are charged with return shipping fee</t>
  </si>
  <si>
    <t>equals the original shipping fee</t>
  </si>
  <si>
    <t>Shipping Charge Correction Audit Fee</t>
  </si>
  <si>
    <t>This fee is applied when the service provider audits shipping charges to ensure accuracy, including Inaccurate dimensions and weight, or irregular package</t>
  </si>
  <si>
    <t>Actual fees generated by the carrier during transportation will be billed accordingly</t>
  </si>
  <si>
    <t>Hazardous goods are not accepted for transportation</t>
  </si>
  <si>
    <t>以下内容：2026年1月30日生效</t>
  </si>
  <si>
    <t>备注</t>
  </si>
  <si>
    <t>AHV-2（zone2）</t>
  </si>
  <si>
    <t>新增这几个code收费
其他费用项价格不变</t>
  </si>
  <si>
    <t>AHV-3T4（zone3-zone4）</t>
  </si>
  <si>
    <t>AHV-5T6（zone5-zone6）</t>
  </si>
  <si>
    <t>AHV-7T8（zone7+）</t>
  </si>
  <si>
    <t>LWS-2/LVS-2（zone2）</t>
  </si>
  <si>
    <t>LWS-3T4/LVS-3T4（zone3-zone4）</t>
  </si>
  <si>
    <t>LWS-5T6/LVS-5T6（zone5-zone6）</t>
  </si>
  <si>
    <t>LWS-7T8/LVS-7T8（zone7+）</t>
  </si>
  <si>
    <t>LWR-2/LVR-2（zone2）</t>
  </si>
  <si>
    <t>LWR-3T4/LVR-3T4（zone3-zone4）</t>
  </si>
  <si>
    <t>LWR-5T6/LVR-5T6（zone5-zone6）</t>
  </si>
  <si>
    <t>LWR-7T8/LVR-7T8（zone7+）</t>
  </si>
  <si>
    <t>以下内容：2026年1月12日-1月29日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</si>
</sst>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);\(0\)"/>
    <numFmt numFmtId="178" formatCode="#\ ?/??"/>
    <numFmt numFmtId="179" formatCode="[$-F800]dddd\,\ mmmm\ dd\,\ yyyy"/>
    <numFmt numFmtId="180" formatCode="yyyy/m/d;@"/>
  </numFmts>
  <fonts count="4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b/>
      <sz val="14"/>
      <color theme="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800080"/>
      <name val="Calibri"/>
      <charset val="0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2"/>
      <name val="Calibri"/>
      <charset val="134"/>
    </font>
    <font>
      <sz val="12"/>
      <color rgb="FFFF0000"/>
      <name val="Calibri"/>
      <charset val="134"/>
    </font>
    <font>
      <b/>
      <sz val="16"/>
      <color theme="8" tint="-0.249977111117893"/>
      <name val="SimSun"/>
      <charset val="134"/>
    </font>
    <font>
      <b/>
      <sz val="11"/>
      <name val="Calibri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6"/>
      <color theme="8" tint="-0.249977111117893"/>
      <name val="Calibri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DFF1EE"/>
        <bgColor rgb="FFDFF1EE"/>
      </patternFill>
    </fill>
    <fill>
      <patternFill patternType="solid">
        <fgColor theme="8" tint="0.799951170384838"/>
        <bgColor rgb="FF80C5BA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E7F4F8"/>
      </right>
      <top style="thin">
        <color auto="1"/>
      </top>
      <bottom style="thin">
        <color auto="1"/>
      </bottom>
      <diagonal/>
    </border>
    <border>
      <left style="medium">
        <color rgb="FFE7F4F8"/>
      </left>
      <right/>
      <top style="thin">
        <color auto="1"/>
      </top>
      <bottom style="thin">
        <color auto="1"/>
      </bottom>
      <diagonal/>
    </border>
    <border>
      <left style="medium">
        <color rgb="FFE7F4F8"/>
      </left>
      <right style="medium">
        <color rgb="FFE7F4F8"/>
      </right>
      <top style="thin">
        <color auto="1"/>
      </top>
      <bottom style="thin">
        <color auto="1"/>
      </bottom>
      <diagonal/>
    </border>
    <border>
      <left style="medium">
        <color rgb="FFE7F4F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E7F4F8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E7F4F8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E7F4F8"/>
      </left>
      <right/>
      <top style="thin">
        <color auto="1"/>
      </top>
      <bottom style="medium">
        <color rgb="FFE7F4F8"/>
      </bottom>
      <diagonal/>
    </border>
    <border>
      <left/>
      <right/>
      <top style="thin">
        <color auto="1"/>
      </top>
      <bottom style="medium">
        <color rgb="FFE7F4F8"/>
      </bottom>
      <diagonal/>
    </border>
    <border>
      <left/>
      <right style="thin">
        <color auto="1"/>
      </right>
      <top style="thin">
        <color auto="1"/>
      </top>
      <bottom style="medium">
        <color rgb="FFE7F4F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E7F4F8"/>
      </left>
      <right/>
      <top/>
      <bottom style="thin">
        <color auto="1"/>
      </bottom>
      <diagonal/>
    </border>
    <border>
      <left style="medium">
        <color rgb="FFE7F4F8"/>
      </left>
      <right/>
      <top style="medium">
        <color rgb="FFE7F4F8"/>
      </top>
      <bottom style="thin">
        <color auto="1"/>
      </bottom>
      <diagonal/>
    </border>
    <border>
      <left/>
      <right/>
      <top style="medium">
        <color rgb="FFE7F4F8"/>
      </top>
      <bottom style="thin">
        <color auto="1"/>
      </bottom>
      <diagonal/>
    </border>
    <border>
      <left/>
      <right style="thin">
        <color auto="1"/>
      </right>
      <top style="medium">
        <color rgb="FFE7F4F8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E7F4F8"/>
      </right>
      <top style="thin">
        <color auto="1"/>
      </top>
      <bottom/>
      <diagonal/>
    </border>
    <border>
      <left/>
      <right style="thin">
        <color rgb="FFE7F4F8"/>
      </right>
      <top/>
      <bottom/>
      <diagonal/>
    </border>
    <border>
      <left/>
      <right style="thin">
        <color rgb="FFE7F4F8"/>
      </right>
      <top/>
      <bottom style="thin">
        <color auto="1"/>
      </bottom>
      <diagonal/>
    </border>
    <border>
      <left style="hair">
        <color theme="8" tint="0.399945066682943"/>
      </left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hair">
        <color theme="8" tint="0.399945066682943"/>
      </left>
      <right/>
      <top style="hair">
        <color theme="8" tint="0.399945066682943"/>
      </top>
      <bottom style="hair">
        <color theme="8" tint="0.399945066682943"/>
      </bottom>
      <diagonal/>
    </border>
    <border>
      <left/>
      <right/>
      <top style="hair">
        <color theme="8" tint="0.399945066682943"/>
      </top>
      <bottom style="hair">
        <color theme="8" tint="0.399945066682943"/>
      </bottom>
      <diagonal/>
    </border>
    <border>
      <left/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medium">
        <color rgb="FFE7F4F8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 style="medium">
        <color rgb="FFE7F4F8"/>
      </left>
      <right/>
      <top/>
      <bottom style="thin">
        <color rgb="FFE7F4F8"/>
      </bottom>
      <diagonal/>
    </border>
    <border>
      <left/>
      <right/>
      <top/>
      <bottom style="thin">
        <color rgb="FFE7F4F8"/>
      </bottom>
      <diagonal/>
    </border>
    <border>
      <left style="medium">
        <color rgb="FFE7F4F8"/>
      </left>
      <right/>
      <top/>
      <bottom style="medium">
        <color rgb="FFE7F4F8"/>
      </bottom>
      <diagonal/>
    </border>
    <border>
      <left/>
      <right/>
      <top/>
      <bottom style="medium">
        <color rgb="FFE7F4F8"/>
      </bottom>
      <diagonal/>
    </border>
    <border>
      <left style="medium">
        <color rgb="FFE7F4F8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E7F4F8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rgb="FFE7F4F8"/>
      </left>
      <right/>
      <top style="medium">
        <color rgb="FFE7F4F8"/>
      </top>
      <bottom style="medium">
        <color rgb="FFE7F4F8"/>
      </bottom>
      <diagonal/>
    </border>
    <border>
      <left/>
      <right style="thin">
        <color auto="1"/>
      </right>
      <top style="medium">
        <color rgb="FFE7F4F8"/>
      </top>
      <bottom style="medium">
        <color rgb="FFE7F4F8"/>
      </bottom>
      <diagonal/>
    </border>
    <border>
      <left/>
      <right/>
      <top style="thin">
        <color auto="1"/>
      </top>
      <bottom style="thin">
        <color rgb="FFE7F4F8"/>
      </bottom>
      <diagonal/>
    </border>
    <border>
      <left style="medium">
        <color rgb="FFE7F4F8"/>
      </left>
      <right/>
      <top style="medium">
        <color rgb="FFE7F4F8"/>
      </top>
      <bottom/>
      <diagonal/>
    </border>
    <border>
      <left/>
      <right style="thin">
        <color auto="1"/>
      </right>
      <top style="medium">
        <color rgb="FFE7F4F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E7F4F8"/>
      </right>
      <top style="thin">
        <color auto="1"/>
      </top>
      <bottom style="thin">
        <color auto="1"/>
      </bottom>
      <diagonal/>
    </border>
    <border>
      <left/>
      <right style="medium">
        <color rgb="FFE7F4F8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rgb="FFE7F4F8"/>
      </right>
      <top/>
      <bottom/>
      <diagonal/>
    </border>
    <border>
      <left/>
      <right/>
      <top style="medium">
        <color rgb="FFE7F4F8"/>
      </top>
      <bottom style="medium">
        <color rgb="FFE7F4F8"/>
      </bottom>
      <diagonal/>
    </border>
    <border>
      <left/>
      <right style="medium">
        <color rgb="FFE7F4F8"/>
      </right>
      <top/>
      <bottom style="thin">
        <color auto="1"/>
      </bottom>
      <diagonal/>
    </border>
    <border>
      <left style="medium">
        <color rgb="FFE7F4F8"/>
      </left>
      <right/>
      <top style="medium">
        <color rgb="FFE7F4F8"/>
      </top>
      <bottom style="thin">
        <color theme="1"/>
      </bottom>
      <diagonal/>
    </border>
    <border>
      <left/>
      <right/>
      <top style="medium">
        <color rgb="FFE7F4F8"/>
      </top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 style="medium">
        <color rgb="FFE7F4F8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/>
      <bottom/>
      <diagonal/>
    </border>
    <border>
      <left/>
      <right style="thin">
        <color rgb="FF4BACC6"/>
      </right>
      <top/>
      <bottom/>
      <diagonal/>
    </border>
    <border>
      <left style="thin">
        <color rgb="FF4BACC6"/>
      </left>
      <right/>
      <top/>
      <bottom style="thin">
        <color rgb="FF000000"/>
      </bottom>
      <diagonal/>
    </border>
    <border>
      <left/>
      <right style="thin">
        <color rgb="FF4BACC6"/>
      </right>
      <top/>
      <bottom style="thin">
        <color rgb="FF000000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000000"/>
      </bottom>
      <diagonal/>
    </border>
    <border>
      <left style="thin">
        <color rgb="FF4BACC6"/>
      </left>
      <right/>
      <top style="thin">
        <color rgb="FF4BACC6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7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3" applyNumberFormat="0" applyFill="0" applyAlignment="0" applyProtection="0">
      <alignment vertical="center"/>
    </xf>
    <xf numFmtId="0" fontId="24" fillId="0" borderId="73" applyNumberFormat="0" applyFill="0" applyAlignment="0" applyProtection="0">
      <alignment vertical="center"/>
    </xf>
    <xf numFmtId="0" fontId="25" fillId="0" borderId="7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75" applyNumberFormat="0" applyAlignment="0" applyProtection="0">
      <alignment vertical="center"/>
    </xf>
    <xf numFmtId="0" fontId="27" fillId="10" borderId="76" applyNumberFormat="0" applyAlignment="0" applyProtection="0">
      <alignment vertical="center"/>
    </xf>
    <xf numFmtId="0" fontId="28" fillId="10" borderId="75" applyNumberFormat="0" applyAlignment="0" applyProtection="0">
      <alignment vertical="center"/>
    </xf>
    <xf numFmtId="0" fontId="29" fillId="11" borderId="77" applyNumberFormat="0" applyAlignment="0" applyProtection="0">
      <alignment vertical="center"/>
    </xf>
    <xf numFmtId="0" fontId="30" fillId="0" borderId="78" applyNumberFormat="0" applyFill="0" applyAlignment="0" applyProtection="0">
      <alignment vertical="center"/>
    </xf>
    <xf numFmtId="0" fontId="31" fillId="0" borderId="79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/>
    </xf>
    <xf numFmtId="176" fontId="7" fillId="0" borderId="12" xfId="0" applyNumberFormat="1" applyFont="1" applyFill="1" applyBorder="1" applyAlignment="1">
      <alignment horizontal="left" vertical="center"/>
    </xf>
    <xf numFmtId="176" fontId="7" fillId="0" borderId="11" xfId="0" applyNumberFormat="1" applyFont="1" applyFill="1" applyBorder="1" applyAlignment="1">
      <alignment horizontal="left" vertical="center"/>
    </xf>
    <xf numFmtId="176" fontId="7" fillId="0" borderId="13" xfId="0" applyNumberFormat="1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8" fillId="0" borderId="0" xfId="6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176" fontId="7" fillId="0" borderId="15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6" fontId="7" fillId="0" borderId="16" xfId="0" applyNumberFormat="1" applyFont="1" applyFill="1" applyBorder="1" applyAlignment="1">
      <alignment horizontal="left" vertical="center"/>
    </xf>
    <xf numFmtId="176" fontId="9" fillId="0" borderId="6" xfId="0" applyNumberFormat="1" applyFont="1" applyFill="1" applyBorder="1" applyAlignment="1">
      <alignment horizontal="left" vertical="center"/>
    </xf>
    <xf numFmtId="176" fontId="9" fillId="0" borderId="4" xfId="0" applyNumberFormat="1" applyFont="1" applyFill="1" applyBorder="1" applyAlignment="1">
      <alignment horizontal="left" vertical="center"/>
    </xf>
    <xf numFmtId="176" fontId="9" fillId="0" borderId="9" xfId="0" applyNumberFormat="1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 wrapText="1"/>
    </xf>
    <xf numFmtId="176" fontId="10" fillId="0" borderId="17" xfId="0" applyNumberFormat="1" applyFont="1" applyFill="1" applyBorder="1" applyAlignment="1">
      <alignment horizontal="left" vertical="center"/>
    </xf>
    <xf numFmtId="176" fontId="10" fillId="0" borderId="18" xfId="0" applyNumberFormat="1" applyFont="1" applyFill="1" applyBorder="1" applyAlignment="1">
      <alignment horizontal="left" vertical="center"/>
    </xf>
    <xf numFmtId="176" fontId="9" fillId="0" borderId="18" xfId="0" applyNumberFormat="1" applyFont="1" applyFill="1" applyBorder="1" applyAlignment="1">
      <alignment horizontal="left" vertical="center"/>
    </xf>
    <xf numFmtId="176" fontId="9" fillId="0" borderId="19" xfId="0" applyNumberFormat="1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/>
    </xf>
    <xf numFmtId="0" fontId="7" fillId="0" borderId="22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 wrapText="1"/>
    </xf>
    <xf numFmtId="176" fontId="10" fillId="0" borderId="23" xfId="0" applyNumberFormat="1" applyFont="1" applyFill="1" applyBorder="1" applyAlignment="1">
      <alignment horizontal="left" vertical="center"/>
    </xf>
    <xf numFmtId="176" fontId="10" fillId="0" borderId="24" xfId="0" applyNumberFormat="1" applyFont="1" applyFill="1" applyBorder="1" applyAlignment="1">
      <alignment horizontal="left" vertical="center"/>
    </xf>
    <xf numFmtId="176" fontId="9" fillId="0" borderId="24" xfId="0" applyNumberFormat="1" applyFont="1" applyFill="1" applyBorder="1" applyAlignment="1">
      <alignment horizontal="left" vertical="center"/>
    </xf>
    <xf numFmtId="176" fontId="9" fillId="0" borderId="25" xfId="0" applyNumberFormat="1" applyFont="1" applyFill="1" applyBorder="1" applyAlignment="1">
      <alignment horizontal="left" vertical="center"/>
    </xf>
    <xf numFmtId="176" fontId="10" fillId="0" borderId="6" xfId="0" applyNumberFormat="1" applyFont="1" applyFill="1" applyBorder="1" applyAlignment="1">
      <alignment horizontal="left" vertical="center" wrapText="1"/>
    </xf>
    <xf numFmtId="176" fontId="10" fillId="0" borderId="4" xfId="0" applyNumberFormat="1" applyFont="1" applyFill="1" applyBorder="1" applyAlignment="1">
      <alignment horizontal="left" vertical="center"/>
    </xf>
    <xf numFmtId="176" fontId="10" fillId="0" borderId="9" xfId="0" applyNumberFormat="1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176" fontId="9" fillId="0" borderId="12" xfId="0" applyNumberFormat="1" applyFont="1" applyFill="1" applyBorder="1" applyAlignment="1">
      <alignment horizontal="left" vertical="center"/>
    </xf>
    <xf numFmtId="176" fontId="9" fillId="0" borderId="13" xfId="0" applyNumberFormat="1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176" fontId="9" fillId="0" borderId="15" xfId="0" applyNumberFormat="1" applyFont="1" applyFill="1" applyBorder="1" applyAlignment="1">
      <alignment horizontal="left" vertical="center"/>
    </xf>
    <xf numFmtId="176" fontId="9" fillId="0" borderId="16" xfId="0" applyNumberFormat="1" applyFont="1" applyFill="1" applyBorder="1" applyAlignment="1">
      <alignment horizontal="left" vertical="center"/>
    </xf>
    <xf numFmtId="0" fontId="7" fillId="0" borderId="22" xfId="0" applyFont="1" applyFill="1" applyBorder="1" applyAlignment="1">
      <alignment horizontal="left" vertical="center"/>
    </xf>
    <xf numFmtId="0" fontId="7" fillId="0" borderId="21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left" vertical="center"/>
    </xf>
    <xf numFmtId="176" fontId="10" fillId="0" borderId="1" xfId="0" applyNumberFormat="1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left" vertical="center"/>
    </xf>
    <xf numFmtId="176" fontId="9" fillId="0" borderId="22" xfId="0" applyNumberFormat="1" applyFont="1" applyFill="1" applyBorder="1" applyAlignment="1">
      <alignment horizontal="left" vertical="center"/>
    </xf>
    <xf numFmtId="176" fontId="9" fillId="0" borderId="26" xfId="0" applyNumberFormat="1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22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>
      <alignment horizontal="left" vertical="center"/>
    </xf>
    <xf numFmtId="176" fontId="10" fillId="0" borderId="11" xfId="0" applyNumberFormat="1" applyFont="1" applyFill="1" applyBorder="1" applyAlignment="1">
      <alignment horizontal="left" vertical="center"/>
    </xf>
    <xf numFmtId="176" fontId="10" fillId="0" borderId="6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28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horizontal="left" vertical="center"/>
    </xf>
    <xf numFmtId="176" fontId="9" fillId="0" borderId="6" xfId="0" applyNumberFormat="1" applyFont="1" applyFill="1" applyBorder="1" applyAlignment="1">
      <alignment horizontal="left" vertical="center" wrapText="1"/>
    </xf>
    <xf numFmtId="176" fontId="7" fillId="0" borderId="6" xfId="0" applyNumberFormat="1" applyFont="1" applyFill="1" applyBorder="1" applyAlignment="1">
      <alignment horizontal="left" vertical="center"/>
    </xf>
    <xf numFmtId="176" fontId="7" fillId="0" borderId="4" xfId="0" applyNumberFormat="1" applyFont="1" applyFill="1" applyBorder="1" applyAlignment="1">
      <alignment horizontal="left" vertical="center"/>
    </xf>
    <xf numFmtId="176" fontId="7" fillId="0" borderId="9" xfId="0" applyNumberFormat="1" applyFont="1" applyFill="1" applyBorder="1" applyAlignment="1">
      <alignment horizontal="left" vertical="center"/>
    </xf>
    <xf numFmtId="176" fontId="10" fillId="0" borderId="0" xfId="0" applyNumberFormat="1" applyFont="1" applyFill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11" fillId="3" borderId="30" xfId="0" applyFont="1" applyFill="1" applyBorder="1" applyAlignment="1">
      <alignment horizontal="center"/>
    </xf>
    <xf numFmtId="0" fontId="12" fillId="0" borderId="30" xfId="0" applyFont="1" applyFill="1" applyBorder="1" applyAlignment="1"/>
    <xf numFmtId="0" fontId="11" fillId="3" borderId="31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 vertical="center"/>
    </xf>
    <xf numFmtId="177" fontId="12" fillId="3" borderId="30" xfId="0" applyNumberFormat="1" applyFont="1" applyFill="1" applyBorder="1" applyAlignment="1">
      <alignment horizontal="center" vertical="center"/>
    </xf>
    <xf numFmtId="178" fontId="13" fillId="4" borderId="30" xfId="0" applyNumberFormat="1" applyFont="1" applyFill="1" applyBorder="1" applyAlignment="1">
      <alignment horizontal="center"/>
    </xf>
    <xf numFmtId="178" fontId="13" fillId="0" borderId="30" xfId="0" applyNumberFormat="1" applyFont="1" applyFill="1" applyBorder="1" applyAlignment="1">
      <alignment horizontal="center"/>
    </xf>
    <xf numFmtId="176" fontId="14" fillId="0" borderId="30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34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7" fillId="0" borderId="26" xfId="0" applyFont="1" applyFill="1" applyBorder="1" applyAlignment="1">
      <alignment horizontal="left" vertical="center"/>
    </xf>
    <xf numFmtId="0" fontId="7" fillId="0" borderId="36" xfId="0" applyFont="1" applyFill="1" applyBorder="1" applyAlignment="1">
      <alignment horizontal="left" vertical="center"/>
    </xf>
    <xf numFmtId="0" fontId="7" fillId="0" borderId="37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176" fontId="7" fillId="0" borderId="22" xfId="0" applyNumberFormat="1" applyFont="1" applyFill="1" applyBorder="1" applyAlignment="1">
      <alignment horizontal="left" vertical="center"/>
    </xf>
    <xf numFmtId="176" fontId="7" fillId="0" borderId="26" xfId="0" applyNumberFormat="1" applyFont="1" applyFill="1" applyBorder="1" applyAlignment="1">
      <alignment horizontal="left" vertical="center"/>
    </xf>
    <xf numFmtId="176" fontId="9" fillId="0" borderId="21" xfId="0" applyNumberFormat="1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 vertical="center"/>
    </xf>
    <xf numFmtId="0" fontId="7" fillId="0" borderId="39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7" fillId="0" borderId="40" xfId="0" applyFont="1" applyFill="1" applyBorder="1" applyAlignment="1">
      <alignment horizontal="left" vertical="center"/>
    </xf>
    <xf numFmtId="0" fontId="7" fillId="0" borderId="41" xfId="0" applyFont="1" applyFill="1" applyBorder="1" applyAlignment="1">
      <alignment horizontal="left" vertical="center"/>
    </xf>
    <xf numFmtId="0" fontId="7" fillId="0" borderId="42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>
      <alignment horizontal="left" vertical="center" wrapText="1"/>
    </xf>
    <xf numFmtId="176" fontId="10" fillId="0" borderId="19" xfId="0" applyNumberFormat="1" applyFont="1" applyFill="1" applyBorder="1" applyAlignment="1">
      <alignment horizontal="left" vertical="center"/>
    </xf>
    <xf numFmtId="0" fontId="6" fillId="0" borderId="28" xfId="0" applyFont="1" applyFill="1" applyBorder="1" applyAlignment="1">
      <alignment horizontal="left" vertical="center" wrapText="1"/>
    </xf>
    <xf numFmtId="176" fontId="10" fillId="0" borderId="44" xfId="0" applyNumberFormat="1" applyFont="1" applyFill="1" applyBorder="1" applyAlignment="1">
      <alignment horizontal="left" vertical="center"/>
    </xf>
    <xf numFmtId="176" fontId="10" fillId="0" borderId="45" xfId="0" applyNumberFormat="1" applyFont="1" applyFill="1" applyBorder="1" applyAlignment="1">
      <alignment horizontal="left" vertical="center"/>
    </xf>
    <xf numFmtId="176" fontId="7" fillId="0" borderId="46" xfId="0" applyNumberFormat="1" applyFont="1" applyFill="1" applyBorder="1" applyAlignment="1">
      <alignment horizontal="left" vertical="center"/>
    </xf>
    <xf numFmtId="176" fontId="10" fillId="0" borderId="47" xfId="0" applyNumberFormat="1" applyFont="1" applyFill="1" applyBorder="1" applyAlignment="1">
      <alignment horizontal="left" vertical="center"/>
    </xf>
    <xf numFmtId="176" fontId="10" fillId="0" borderId="48" xfId="0" applyNumberFormat="1" applyFont="1" applyFill="1" applyBorder="1" applyAlignment="1">
      <alignment horizontal="left" vertical="center"/>
    </xf>
    <xf numFmtId="176" fontId="14" fillId="0" borderId="0" xfId="0" applyNumberFormat="1" applyFont="1" applyFill="1" applyAlignment="1">
      <alignment horizontal="center"/>
    </xf>
    <xf numFmtId="176" fontId="13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left" vertical="center"/>
    </xf>
    <xf numFmtId="179" fontId="2" fillId="0" borderId="3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horizontal="left" vertical="center" wrapText="1"/>
    </xf>
    <xf numFmtId="0" fontId="5" fillId="2" borderId="50" xfId="0" applyFont="1" applyFill="1" applyBorder="1" applyAlignment="1">
      <alignment horizontal="left" vertical="center"/>
    </xf>
    <xf numFmtId="0" fontId="6" fillId="0" borderId="51" xfId="0" applyFont="1" applyFill="1" applyBorder="1" applyAlignment="1">
      <alignment horizontal="left" vertical="center"/>
    </xf>
    <xf numFmtId="0" fontId="7" fillId="0" borderId="34" xfId="0" applyFont="1" applyFill="1" applyBorder="1" applyAlignment="1">
      <alignment horizontal="left" vertical="center"/>
    </xf>
    <xf numFmtId="0" fontId="7" fillId="0" borderId="52" xfId="0" applyFont="1" applyFill="1" applyBorder="1" applyAlignment="1">
      <alignment horizontal="left" vertical="center"/>
    </xf>
    <xf numFmtId="0" fontId="6" fillId="0" borderId="53" xfId="0" applyFont="1" applyFill="1" applyBorder="1" applyAlignment="1">
      <alignment horizontal="left" vertical="center"/>
    </xf>
    <xf numFmtId="0" fontId="7" fillId="0" borderId="44" xfId="0" applyFont="1" applyFill="1" applyBorder="1" applyAlignment="1">
      <alignment horizontal="left" vertical="center"/>
    </xf>
    <xf numFmtId="0" fontId="7" fillId="0" borderId="54" xfId="0" applyFont="1" applyFill="1" applyBorder="1" applyAlignment="1">
      <alignment horizontal="left" vertical="center"/>
    </xf>
    <xf numFmtId="0" fontId="6" fillId="0" borderId="55" xfId="0" applyFont="1" applyFill="1" applyBorder="1" applyAlignment="1">
      <alignment horizontal="left" vertical="center"/>
    </xf>
    <xf numFmtId="0" fontId="7" fillId="0" borderId="56" xfId="0" applyFont="1" applyFill="1" applyBorder="1" applyAlignment="1">
      <alignment horizontal="left" vertical="center"/>
    </xf>
    <xf numFmtId="0" fontId="7" fillId="0" borderId="57" xfId="0" applyFont="1" applyFill="1" applyBorder="1" applyAlignment="1">
      <alignment horizontal="left" vertical="center"/>
    </xf>
    <xf numFmtId="0" fontId="7" fillId="0" borderId="42" xfId="0" applyFont="1" applyFill="1" applyBorder="1" applyAlignment="1">
      <alignment horizontal="left" vertical="center"/>
    </xf>
    <xf numFmtId="0" fontId="7" fillId="0" borderId="58" xfId="0" applyFont="1" applyFill="1" applyBorder="1" applyAlignment="1">
      <alignment horizontal="left" vertical="center"/>
    </xf>
    <xf numFmtId="176" fontId="9" fillId="0" borderId="38" xfId="0" applyNumberFormat="1" applyFont="1" applyFill="1" applyBorder="1" applyAlignment="1">
      <alignment horizontal="left" vertical="center"/>
    </xf>
    <xf numFmtId="176" fontId="9" fillId="0" borderId="39" xfId="0" applyNumberFormat="1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176" fontId="9" fillId="0" borderId="17" xfId="0" applyNumberFormat="1" applyFont="1" applyFill="1" applyBorder="1" applyAlignment="1">
      <alignment horizontal="left" vertical="center"/>
    </xf>
    <xf numFmtId="0" fontId="7" fillId="0" borderId="35" xfId="0" applyFont="1" applyFill="1" applyBorder="1" applyAlignment="1">
      <alignment horizontal="left" vertical="center"/>
    </xf>
    <xf numFmtId="176" fontId="9" fillId="0" borderId="34" xfId="0" applyNumberFormat="1" applyFont="1" applyFill="1" applyBorder="1" applyAlignment="1">
      <alignment horizontal="left" vertical="center"/>
    </xf>
    <xf numFmtId="176" fontId="9" fillId="0" borderId="35" xfId="0" applyNumberFormat="1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176" fontId="9" fillId="0" borderId="42" xfId="0" applyNumberFormat="1" applyFont="1" applyFill="1" applyBorder="1" applyAlignment="1">
      <alignment horizontal="left" vertical="center"/>
    </xf>
    <xf numFmtId="176" fontId="9" fillId="0" borderId="43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176" fontId="9" fillId="0" borderId="59" xfId="0" applyNumberFormat="1" applyFont="1" applyFill="1" applyBorder="1" applyAlignment="1">
      <alignment horizontal="left" vertical="center"/>
    </xf>
    <xf numFmtId="176" fontId="9" fillId="0" borderId="60" xfId="0" applyNumberFormat="1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 wrapText="1"/>
    </xf>
    <xf numFmtId="0" fontId="1" fillId="0" borderId="62" xfId="0" applyFont="1" applyFill="1" applyBorder="1" applyAlignment="1">
      <alignment horizontal="left" vertical="center" wrapText="1"/>
    </xf>
    <xf numFmtId="0" fontId="1" fillId="0" borderId="63" xfId="0" applyFont="1" applyFill="1" applyBorder="1" applyAlignment="1">
      <alignment horizontal="left" vertical="center"/>
    </xf>
    <xf numFmtId="0" fontId="1" fillId="0" borderId="64" xfId="0" applyFont="1" applyFill="1" applyBorder="1" applyAlignment="1">
      <alignment horizontal="left" vertical="center"/>
    </xf>
    <xf numFmtId="0" fontId="1" fillId="0" borderId="63" xfId="0" applyFont="1" applyFill="1" applyBorder="1" applyAlignment="1">
      <alignment horizontal="left" vertical="center" wrapText="1"/>
    </xf>
    <xf numFmtId="0" fontId="1" fillId="0" borderId="6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65" xfId="0" applyFont="1" applyFill="1" applyBorder="1" applyAlignment="1">
      <alignment horizontal="left" vertical="center" wrapText="1"/>
    </xf>
    <xf numFmtId="0" fontId="1" fillId="0" borderId="66" xfId="0" applyFont="1" applyFill="1" applyBorder="1" applyAlignment="1">
      <alignment horizontal="left" vertical="center" wrapText="1"/>
    </xf>
    <xf numFmtId="176" fontId="2" fillId="0" borderId="63" xfId="0" applyNumberFormat="1" applyFont="1" applyFill="1" applyBorder="1" applyAlignment="1" applyProtection="1">
      <alignment horizontal="left" vertical="center" wrapText="1"/>
    </xf>
    <xf numFmtId="176" fontId="2" fillId="0" borderId="64" xfId="0" applyNumberFormat="1" applyFont="1" applyFill="1" applyBorder="1" applyAlignment="1" applyProtection="1">
      <alignment horizontal="left" vertical="center" wrapText="1"/>
    </xf>
    <xf numFmtId="176" fontId="2" fillId="0" borderId="1" xfId="0" applyNumberFormat="1" applyFont="1" applyFill="1" applyBorder="1" applyAlignment="1" applyProtection="1">
      <alignment horizontal="left" vertical="center" wrapText="1"/>
    </xf>
    <xf numFmtId="0" fontId="1" fillId="0" borderId="67" xfId="0" applyFont="1" applyFill="1" applyBorder="1" applyAlignment="1">
      <alignment horizontal="left" vertical="center" wrapText="1"/>
    </xf>
    <xf numFmtId="0" fontId="1" fillId="0" borderId="68" xfId="0" applyFont="1" applyFill="1" applyBorder="1" applyAlignment="1">
      <alignment horizontal="left" vertical="center" wrapText="1"/>
    </xf>
    <xf numFmtId="0" fontId="1" fillId="0" borderId="69" xfId="0" applyFont="1" applyFill="1" applyBorder="1" applyAlignment="1">
      <alignment horizontal="left" vertical="center"/>
    </xf>
    <xf numFmtId="0" fontId="1" fillId="0" borderId="70" xfId="0" applyFont="1" applyFill="1" applyBorder="1" applyAlignment="1">
      <alignment horizontal="left" vertical="center"/>
    </xf>
    <xf numFmtId="176" fontId="2" fillId="0" borderId="69" xfId="0" applyNumberFormat="1" applyFont="1" applyFill="1" applyBorder="1" applyAlignment="1" applyProtection="1">
      <alignment horizontal="left" vertical="center" wrapText="1"/>
    </xf>
    <xf numFmtId="176" fontId="2" fillId="0" borderId="70" xfId="0" applyNumberFormat="1" applyFont="1" applyFill="1" applyBorder="1" applyAlignment="1" applyProtection="1">
      <alignment horizontal="left" vertical="center" wrapText="1"/>
    </xf>
    <xf numFmtId="0" fontId="16" fillId="0" borderId="3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0" fillId="0" borderId="42" xfId="0" applyFont="1" applyFill="1" applyBorder="1" applyAlignment="1">
      <alignment horizontal="left" vertical="center" wrapText="1"/>
    </xf>
    <xf numFmtId="0" fontId="10" fillId="0" borderId="43" xfId="0" applyFont="1" applyFill="1" applyBorder="1" applyAlignment="1">
      <alignment horizontal="left" vertical="center" wrapText="1"/>
    </xf>
    <xf numFmtId="176" fontId="10" fillId="0" borderId="42" xfId="0" applyNumberFormat="1" applyFont="1" applyFill="1" applyBorder="1" applyAlignment="1">
      <alignment horizontal="left" vertical="center"/>
    </xf>
    <xf numFmtId="176" fontId="10" fillId="0" borderId="43" xfId="0" applyNumberFormat="1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20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left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1" fillId="0" borderId="71" xfId="0" applyFont="1" applyFill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/>
    </xf>
    <xf numFmtId="0" fontId="1" fillId="0" borderId="3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/>
    </xf>
    <xf numFmtId="0" fontId="1" fillId="0" borderId="4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x.com/en-us/shipping/fuel-surcharge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ps.com/us/en/support/shipping-support/shipping-costs-rates/fuel-surcharges.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22" workbookViewId="0">
      <selection activeCell="G46" sqref="G46"/>
    </sheetView>
  </sheetViews>
  <sheetFormatPr defaultColWidth="8.89090909090909" defaultRowHeight="14" outlineLevelCol="6"/>
  <cols>
    <col min="1" max="1" width="24.6636363636364" customWidth="1"/>
    <col min="2" max="2" width="26.1090909090909" customWidth="1"/>
    <col min="3" max="3" width="40.7818181818182" customWidth="1"/>
    <col min="4" max="4" width="17.2181818181818" customWidth="1"/>
    <col min="5" max="5" width="19.8909090909091" customWidth="1"/>
    <col min="6" max="6" width="11.8909090909091" customWidth="1"/>
    <col min="7" max="7" width="23.1090909090909" customWidth="1"/>
  </cols>
  <sheetData>
    <row r="1" spans="1:7">
      <c r="A1" s="206" t="s">
        <v>0</v>
      </c>
      <c r="B1" s="206"/>
      <c r="C1" s="206"/>
      <c r="D1" s="147"/>
      <c r="E1" s="147"/>
      <c r="F1" s="147"/>
      <c r="G1" s="147"/>
    </row>
    <row r="2" spans="1:7">
      <c r="A2" s="11" t="s">
        <v>1</v>
      </c>
      <c r="B2" s="11" t="s">
        <v>2</v>
      </c>
      <c r="C2" s="11" t="s">
        <v>3</v>
      </c>
      <c r="D2" s="147"/>
      <c r="E2" s="147"/>
      <c r="F2" s="147"/>
      <c r="G2" s="147"/>
    </row>
    <row r="3" spans="1:7">
      <c r="A3" s="11" t="s">
        <v>4</v>
      </c>
      <c r="B3" s="19" t="s">
        <v>5</v>
      </c>
      <c r="C3" s="11" t="s">
        <v>6</v>
      </c>
      <c r="D3" s="147"/>
      <c r="E3" s="147"/>
      <c r="F3" s="147"/>
      <c r="G3" s="147"/>
    </row>
    <row r="4" spans="1:7">
      <c r="A4" s="11" t="s">
        <v>7</v>
      </c>
      <c r="B4" s="19" t="s">
        <v>8</v>
      </c>
      <c r="C4" s="11" t="s">
        <v>9</v>
      </c>
      <c r="D4" s="147"/>
      <c r="E4" s="147"/>
      <c r="F4" s="147"/>
      <c r="G4" s="147"/>
    </row>
    <row r="5" spans="1:7">
      <c r="A5" s="11" t="s">
        <v>10</v>
      </c>
      <c r="B5" s="19" t="s">
        <v>11</v>
      </c>
      <c r="C5" s="11" t="s">
        <v>12</v>
      </c>
      <c r="D5" s="147"/>
      <c r="E5" s="147"/>
      <c r="F5" s="147"/>
      <c r="G5" s="147"/>
    </row>
    <row r="6" spans="1:7">
      <c r="A6" s="11" t="s">
        <v>10</v>
      </c>
      <c r="B6" s="19" t="s">
        <v>13</v>
      </c>
      <c r="C6" s="11" t="s">
        <v>14</v>
      </c>
      <c r="D6" s="147"/>
      <c r="E6" s="147"/>
      <c r="F6" s="147"/>
      <c r="G6" s="147"/>
    </row>
    <row r="7" spans="1:7">
      <c r="A7" s="11" t="s">
        <v>4</v>
      </c>
      <c r="B7" s="19" t="s">
        <v>15</v>
      </c>
      <c r="C7" s="11" t="s">
        <v>16</v>
      </c>
      <c r="D7" s="147"/>
      <c r="E7" s="147"/>
      <c r="F7" s="147"/>
      <c r="G7" s="147"/>
    </row>
    <row r="8" spans="1:7">
      <c r="A8" s="11" t="s">
        <v>7</v>
      </c>
      <c r="B8" s="19" t="s">
        <v>17</v>
      </c>
      <c r="C8" s="11" t="s">
        <v>18</v>
      </c>
      <c r="D8" s="147"/>
      <c r="E8" s="147"/>
      <c r="F8" s="147"/>
      <c r="G8" s="147"/>
    </row>
    <row r="9" spans="1:7">
      <c r="A9" s="11" t="s">
        <v>19</v>
      </c>
      <c r="B9" s="11" t="s">
        <v>19</v>
      </c>
      <c r="C9" s="11" t="s">
        <v>20</v>
      </c>
      <c r="D9" s="147"/>
      <c r="E9" s="147"/>
      <c r="F9" s="147"/>
      <c r="G9" s="147"/>
    </row>
    <row r="10" spans="1:7">
      <c r="A10" s="11" t="s">
        <v>21</v>
      </c>
      <c r="B10" s="11" t="s">
        <v>22</v>
      </c>
      <c r="C10" s="11" t="s">
        <v>23</v>
      </c>
      <c r="D10" s="147"/>
      <c r="E10" s="147"/>
      <c r="F10" s="147"/>
      <c r="G10" s="147"/>
    </row>
    <row r="11" spans="1:7">
      <c r="A11" s="11" t="s">
        <v>24</v>
      </c>
      <c r="B11" s="11" t="s">
        <v>25</v>
      </c>
      <c r="C11" s="11" t="s">
        <v>26</v>
      </c>
      <c r="D11" s="147"/>
      <c r="E11" s="147"/>
      <c r="F11" s="147"/>
      <c r="G11" s="147"/>
    </row>
    <row r="12" spans="1:7">
      <c r="A12" s="11" t="s">
        <v>19</v>
      </c>
      <c r="B12" s="11" t="s">
        <v>27</v>
      </c>
      <c r="C12" s="11" t="s">
        <v>28</v>
      </c>
      <c r="D12" s="147"/>
      <c r="E12" s="147"/>
      <c r="F12" s="147"/>
      <c r="G12" s="147"/>
    </row>
    <row r="13" spans="1:7">
      <c r="A13" s="207"/>
      <c r="B13" s="207"/>
      <c r="C13" s="207"/>
      <c r="D13" s="147"/>
      <c r="E13" s="147"/>
      <c r="F13" s="147"/>
      <c r="G13" s="147"/>
    </row>
    <row r="14" spans="1:7">
      <c r="A14" s="208" t="s">
        <v>29</v>
      </c>
      <c r="B14" s="208"/>
      <c r="C14" s="208"/>
      <c r="D14" s="208"/>
      <c r="E14" s="208"/>
      <c r="F14" s="208"/>
      <c r="G14" s="208"/>
    </row>
    <row r="15" spans="1:7">
      <c r="A15" s="209" t="s">
        <v>30</v>
      </c>
      <c r="B15" s="209" t="s">
        <v>31</v>
      </c>
      <c r="C15" s="209" t="s">
        <v>32</v>
      </c>
      <c r="D15" s="209" t="s">
        <v>3</v>
      </c>
      <c r="E15" s="209" t="s">
        <v>33</v>
      </c>
      <c r="F15" s="209" t="s">
        <v>34</v>
      </c>
      <c r="G15" s="209" t="s">
        <v>35</v>
      </c>
    </row>
    <row r="16" spans="1:7">
      <c r="A16" s="11" t="s">
        <v>36</v>
      </c>
      <c r="B16" s="11" t="s">
        <v>37</v>
      </c>
      <c r="C16" s="11" t="s">
        <v>37</v>
      </c>
      <c r="D16" s="11" t="s">
        <v>38</v>
      </c>
      <c r="E16" s="11" t="s">
        <v>39</v>
      </c>
      <c r="F16" s="11" t="s">
        <v>40</v>
      </c>
      <c r="G16" s="11" t="s">
        <v>41</v>
      </c>
    </row>
    <row r="17" spans="1:7">
      <c r="A17" s="210" t="s">
        <v>42</v>
      </c>
      <c r="B17" s="210" t="s">
        <v>42</v>
      </c>
      <c r="C17" s="210" t="s">
        <v>42</v>
      </c>
      <c r="D17" s="210" t="s">
        <v>38</v>
      </c>
      <c r="E17" s="210" t="s">
        <v>43</v>
      </c>
      <c r="F17" s="210" t="s">
        <v>40</v>
      </c>
      <c r="G17" s="210" t="s">
        <v>44</v>
      </c>
    </row>
    <row r="18" spans="1:7">
      <c r="A18" s="11" t="s">
        <v>45</v>
      </c>
      <c r="B18" s="11" t="s">
        <v>46</v>
      </c>
      <c r="C18" s="11" t="s">
        <v>45</v>
      </c>
      <c r="D18" s="11" t="s">
        <v>38</v>
      </c>
      <c r="E18" s="11" t="s">
        <v>43</v>
      </c>
      <c r="F18" s="11" t="s">
        <v>40</v>
      </c>
      <c r="G18" s="11" t="s">
        <v>41</v>
      </c>
    </row>
    <row r="19" spans="1:7">
      <c r="A19" s="11" t="s">
        <v>47</v>
      </c>
      <c r="B19" s="11" t="s">
        <v>48</v>
      </c>
      <c r="C19" s="11" t="s">
        <v>49</v>
      </c>
      <c r="D19" s="11" t="s">
        <v>50</v>
      </c>
      <c r="E19" s="11" t="s">
        <v>39</v>
      </c>
      <c r="F19" s="11" t="s">
        <v>40</v>
      </c>
      <c r="G19" s="11" t="s">
        <v>41</v>
      </c>
    </row>
    <row r="20" spans="1:7">
      <c r="A20" s="11" t="s">
        <v>51</v>
      </c>
      <c r="B20" s="11" t="s">
        <v>52</v>
      </c>
      <c r="C20" s="11" t="s">
        <v>53</v>
      </c>
      <c r="D20" s="11" t="s">
        <v>50</v>
      </c>
      <c r="E20" s="11" t="s">
        <v>39</v>
      </c>
      <c r="F20" s="11" t="s">
        <v>40</v>
      </c>
      <c r="G20" s="11" t="s">
        <v>41</v>
      </c>
    </row>
    <row r="21" spans="1:7">
      <c r="A21" s="210" t="s">
        <v>54</v>
      </c>
      <c r="B21" s="210" t="s">
        <v>54</v>
      </c>
      <c r="C21" s="210" t="s">
        <v>55</v>
      </c>
      <c r="D21" s="210" t="s">
        <v>38</v>
      </c>
      <c r="E21" s="210" t="s">
        <v>39</v>
      </c>
      <c r="F21" s="210" t="s">
        <v>40</v>
      </c>
      <c r="G21" s="210" t="s">
        <v>44</v>
      </c>
    </row>
    <row r="22" spans="1:7">
      <c r="A22" s="11" t="s">
        <v>56</v>
      </c>
      <c r="B22" s="11" t="s">
        <v>56</v>
      </c>
      <c r="C22" s="11" t="s">
        <v>57</v>
      </c>
      <c r="D22" s="11" t="s">
        <v>38</v>
      </c>
      <c r="E22" s="11" t="s">
        <v>58</v>
      </c>
      <c r="F22" s="11" t="s">
        <v>40</v>
      </c>
      <c r="G22" s="11" t="s">
        <v>44</v>
      </c>
    </row>
    <row r="23" spans="1:7">
      <c r="A23" s="11" t="s">
        <v>59</v>
      </c>
      <c r="B23" s="11" t="s">
        <v>59</v>
      </c>
      <c r="C23" s="11" t="s">
        <v>59</v>
      </c>
      <c r="D23" s="11" t="s">
        <v>38</v>
      </c>
      <c r="E23" s="11" t="s">
        <v>60</v>
      </c>
      <c r="F23" s="11" t="s">
        <v>61</v>
      </c>
      <c r="G23" s="11" t="s">
        <v>44</v>
      </c>
    </row>
    <row r="24" spans="1:7">
      <c r="A24" s="210" t="s">
        <v>62</v>
      </c>
      <c r="B24" s="210" t="s">
        <v>62</v>
      </c>
      <c r="C24" s="210" t="s">
        <v>63</v>
      </c>
      <c r="D24" s="210" t="s">
        <v>38</v>
      </c>
      <c r="E24" s="210" t="s">
        <v>60</v>
      </c>
      <c r="F24" s="210" t="s">
        <v>61</v>
      </c>
      <c r="G24" s="210" t="s">
        <v>44</v>
      </c>
    </row>
    <row r="25" spans="1:7">
      <c r="A25" s="210" t="s">
        <v>64</v>
      </c>
      <c r="B25" s="210" t="s">
        <v>64</v>
      </c>
      <c r="C25" s="210" t="s">
        <v>65</v>
      </c>
      <c r="D25" s="210" t="s">
        <v>66</v>
      </c>
      <c r="E25" s="210" t="s">
        <v>39</v>
      </c>
      <c r="F25" s="210" t="s">
        <v>40</v>
      </c>
      <c r="G25" s="210" t="s">
        <v>44</v>
      </c>
    </row>
    <row r="26" spans="1:7">
      <c r="A26" s="210" t="s">
        <v>67</v>
      </c>
      <c r="B26" s="210" t="s">
        <v>67</v>
      </c>
      <c r="C26" s="210" t="s">
        <v>68</v>
      </c>
      <c r="D26" s="210" t="s">
        <v>66</v>
      </c>
      <c r="E26" s="210" t="s">
        <v>39</v>
      </c>
      <c r="F26" s="210" t="s">
        <v>40</v>
      </c>
      <c r="G26" s="210" t="s">
        <v>44</v>
      </c>
    </row>
    <row r="27" spans="1:7">
      <c r="A27" s="210" t="s">
        <v>69</v>
      </c>
      <c r="B27" s="210" t="s">
        <v>69</v>
      </c>
      <c r="C27" s="210" t="s">
        <v>69</v>
      </c>
      <c r="D27" s="210" t="s">
        <v>70</v>
      </c>
      <c r="E27" s="210" t="s">
        <v>71</v>
      </c>
      <c r="F27" s="210" t="s">
        <v>72</v>
      </c>
      <c r="G27" s="210" t="s">
        <v>44</v>
      </c>
    </row>
    <row r="30" spans="1:7">
      <c r="A30" s="206" t="s">
        <v>73</v>
      </c>
      <c r="B30" s="206"/>
      <c r="C30" s="206"/>
      <c r="D30" s="206"/>
      <c r="E30" s="206"/>
    </row>
    <row r="31" spans="1:7">
      <c r="A31" s="211" t="s">
        <v>74</v>
      </c>
      <c r="B31" s="211"/>
      <c r="C31" s="211"/>
      <c r="D31" s="211"/>
      <c r="E31" s="147"/>
    </row>
    <row r="32" spans="1:7">
      <c r="A32" s="212" t="s">
        <v>75</v>
      </c>
      <c r="B32" s="213"/>
      <c r="C32" s="213"/>
      <c r="D32" s="213"/>
      <c r="E32" s="213"/>
    </row>
    <row r="33" spans="1:5">
      <c r="A33" s="214" t="s">
        <v>76</v>
      </c>
      <c r="B33" s="215"/>
      <c r="C33" s="215"/>
      <c r="D33" s="215"/>
      <c r="E33" s="216"/>
    </row>
    <row r="34" spans="1:5">
      <c r="A34" s="11" t="s">
        <v>77</v>
      </c>
      <c r="B34" s="11" t="s">
        <v>78</v>
      </c>
      <c r="C34" s="217" t="s">
        <v>79</v>
      </c>
      <c r="D34" s="218" t="s">
        <v>80</v>
      </c>
      <c r="E34" s="218" t="s">
        <v>81</v>
      </c>
    </row>
    <row r="35" spans="1:5">
      <c r="A35" s="219" t="s">
        <v>37</v>
      </c>
      <c r="B35" s="11" t="s">
        <v>82</v>
      </c>
      <c r="C35" s="217" t="s">
        <v>83</v>
      </c>
      <c r="D35" s="220">
        <v>46052</v>
      </c>
      <c r="E35" s="221" t="s">
        <v>84</v>
      </c>
    </row>
    <row r="36" spans="1:5">
      <c r="A36" s="222"/>
      <c r="B36" s="11" t="s">
        <v>85</v>
      </c>
      <c r="C36" s="217" t="s">
        <v>86</v>
      </c>
      <c r="D36" s="220"/>
      <c r="E36" s="223"/>
    </row>
    <row r="37" spans="1:5">
      <c r="A37" s="222"/>
      <c r="B37" s="11" t="s">
        <v>87</v>
      </c>
      <c r="C37" s="217" t="s">
        <v>88</v>
      </c>
      <c r="D37" s="220"/>
      <c r="E37" s="223"/>
    </row>
    <row r="38" spans="1:5">
      <c r="A38" s="222"/>
      <c r="B38" s="11" t="s">
        <v>89</v>
      </c>
      <c r="C38" s="217" t="s">
        <v>90</v>
      </c>
      <c r="D38" s="220"/>
      <c r="E38" s="223"/>
    </row>
    <row r="39" spans="1:5">
      <c r="A39" s="222"/>
      <c r="B39" s="11" t="s">
        <v>91</v>
      </c>
      <c r="C39" s="217" t="s">
        <v>92</v>
      </c>
      <c r="D39" s="220"/>
      <c r="E39" s="223"/>
    </row>
    <row r="40" spans="1:5">
      <c r="A40" s="222"/>
      <c r="B40" s="224" t="s">
        <v>93</v>
      </c>
      <c r="C40" s="225" t="s">
        <v>94</v>
      </c>
      <c r="D40" s="220"/>
      <c r="E40" s="223"/>
    </row>
    <row r="41" spans="1:5">
      <c r="A41" s="222"/>
      <c r="B41" s="224" t="s">
        <v>95</v>
      </c>
      <c r="C41" s="225" t="s">
        <v>96</v>
      </c>
      <c r="D41" s="220"/>
      <c r="E41" s="223"/>
    </row>
    <row r="42" spans="1:5">
      <c r="A42" s="226"/>
      <c r="B42" s="225" t="s">
        <v>97</v>
      </c>
      <c r="C42" s="227"/>
      <c r="D42" s="220"/>
      <c r="E42" s="228"/>
    </row>
    <row r="43" spans="1:5">
      <c r="A43" s="219" t="s">
        <v>48</v>
      </c>
      <c r="B43" s="229" t="s">
        <v>98</v>
      </c>
      <c r="C43" s="230"/>
      <c r="D43" s="220"/>
      <c r="E43" s="218" t="s">
        <v>99</v>
      </c>
    </row>
    <row r="44" spans="1:5">
      <c r="A44" s="226"/>
      <c r="B44" s="214"/>
      <c r="C44" s="215"/>
      <c r="D44" s="220"/>
      <c r="E44" s="218"/>
    </row>
    <row r="45" ht="14.5" spans="1:5">
      <c r="A45" s="11" t="s">
        <v>56</v>
      </c>
      <c r="B45" s="11" t="s">
        <v>100</v>
      </c>
      <c r="C45" s="217"/>
      <c r="D45" s="220"/>
      <c r="E45" s="231" t="s">
        <v>101</v>
      </c>
    </row>
    <row r="46" ht="39" customHeight="1" spans="1:5">
      <c r="A46" s="11" t="s">
        <v>64</v>
      </c>
      <c r="B46" s="217" t="s">
        <v>102</v>
      </c>
      <c r="C46" s="232"/>
      <c r="D46" s="220"/>
      <c r="E46" s="7" t="s">
        <v>103</v>
      </c>
    </row>
    <row r="47" ht="39" customHeight="1" spans="1:5">
      <c r="A47" s="11" t="s">
        <v>67</v>
      </c>
      <c r="B47" s="217" t="s">
        <v>102</v>
      </c>
      <c r="C47" s="232"/>
      <c r="D47" s="220"/>
      <c r="E47" s="7" t="s">
        <v>104</v>
      </c>
    </row>
  </sheetData>
  <mergeCells count="16">
    <mergeCell ref="A1:C1"/>
    <mergeCell ref="A14:G14"/>
    <mergeCell ref="A30:E30"/>
    <mergeCell ref="A31:D31"/>
    <mergeCell ref="A32:E32"/>
    <mergeCell ref="A33:E33"/>
    <mergeCell ref="B42:C42"/>
    <mergeCell ref="B45:C45"/>
    <mergeCell ref="B46:C46"/>
    <mergeCell ref="B47:C47"/>
    <mergeCell ref="A35:A42"/>
    <mergeCell ref="A43:A44"/>
    <mergeCell ref="D35:D47"/>
    <mergeCell ref="E35:E42"/>
    <mergeCell ref="E43:E44"/>
    <mergeCell ref="B43:C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"/>
  <sheetViews>
    <sheetView topLeftCell="J1" workbookViewId="0">
      <selection activeCell="Y11" sqref="Y11"/>
    </sheetView>
  </sheetViews>
  <sheetFormatPr defaultColWidth="8.89090909090909" defaultRowHeight="14"/>
  <cols>
    <col min="12" max="12" width="26.1090909090909" customWidth="1"/>
    <col min="25" max="25" width="13.5545454545455" customWidth="1"/>
  </cols>
  <sheetData>
    <row r="1" ht="18.5" spans="1:26">
      <c r="A1" s="103" t="s">
        <v>105</v>
      </c>
      <c r="B1" s="104"/>
      <c r="C1" s="105" t="s">
        <v>106</v>
      </c>
      <c r="D1" s="106"/>
      <c r="E1" s="106"/>
      <c r="F1" s="106"/>
      <c r="G1" s="106"/>
      <c r="H1" s="106"/>
      <c r="I1" s="106"/>
      <c r="J1" s="106"/>
      <c r="K1" s="107"/>
      <c r="L1" s="11" t="s">
        <v>107</v>
      </c>
      <c r="N1" s="155" t="s">
        <v>108</v>
      </c>
      <c r="O1" s="16"/>
      <c r="P1" s="16"/>
      <c r="Q1" s="16"/>
      <c r="R1" s="16"/>
      <c r="S1" s="15" t="s">
        <v>109</v>
      </c>
      <c r="T1" s="13"/>
      <c r="U1" s="13"/>
      <c r="V1" s="14"/>
      <c r="W1" s="15" t="s">
        <v>110</v>
      </c>
      <c r="X1" s="18"/>
      <c r="Y1" s="18" t="s">
        <v>111</v>
      </c>
      <c r="Z1" s="11" t="s">
        <v>107</v>
      </c>
    </row>
    <row r="2" ht="18.5" spans="1:26">
      <c r="A2" s="108" t="s">
        <v>112</v>
      </c>
      <c r="B2" s="108" t="s">
        <v>113</v>
      </c>
      <c r="C2" s="108">
        <v>1</v>
      </c>
      <c r="D2" s="108">
        <v>2</v>
      </c>
      <c r="E2" s="108">
        <v>3</v>
      </c>
      <c r="F2" s="108">
        <v>4</v>
      </c>
      <c r="G2" s="108">
        <v>5</v>
      </c>
      <c r="H2" s="108">
        <v>6</v>
      </c>
      <c r="I2" s="108">
        <v>7</v>
      </c>
      <c r="J2" s="108">
        <v>8</v>
      </c>
      <c r="K2" s="108">
        <v>9</v>
      </c>
      <c r="L2" s="11" t="s">
        <v>19</v>
      </c>
      <c r="N2" s="27" t="s">
        <v>114</v>
      </c>
      <c r="O2" s="28"/>
      <c r="P2" s="28"/>
      <c r="Q2" s="28"/>
      <c r="R2" s="156"/>
      <c r="S2" s="116" t="s">
        <v>115</v>
      </c>
      <c r="T2" s="117"/>
      <c r="U2" s="117"/>
      <c r="V2" s="117"/>
      <c r="W2" s="157" t="s">
        <v>116</v>
      </c>
      <c r="X2" s="158"/>
      <c r="Y2" s="26"/>
      <c r="Z2" s="11" t="s">
        <v>19</v>
      </c>
    </row>
    <row r="3" ht="16.25" spans="1:26">
      <c r="A3" s="110">
        <f t="shared" ref="A3:A17" si="0">B3/16</f>
        <v>0.0625</v>
      </c>
      <c r="B3" s="111">
        <v>1</v>
      </c>
      <c r="C3" s="112">
        <v>4.74</v>
      </c>
      <c r="D3" s="112">
        <v>4.81</v>
      </c>
      <c r="E3" s="112">
        <v>4.85</v>
      </c>
      <c r="F3" s="112">
        <v>4.92</v>
      </c>
      <c r="G3" s="112">
        <v>5.02</v>
      </c>
      <c r="H3" s="112">
        <v>5.17</v>
      </c>
      <c r="I3" s="112">
        <v>5.29</v>
      </c>
      <c r="J3" s="112">
        <v>5.47</v>
      </c>
      <c r="K3" s="112">
        <v>5.89</v>
      </c>
      <c r="L3" s="11" t="s">
        <v>22</v>
      </c>
      <c r="N3" s="27" t="s">
        <v>117</v>
      </c>
      <c r="O3" s="28"/>
      <c r="P3" s="28"/>
      <c r="Q3" s="28"/>
      <c r="R3" s="156"/>
      <c r="S3" s="126" t="s">
        <v>118</v>
      </c>
      <c r="T3" s="127"/>
      <c r="U3" s="127"/>
      <c r="V3" s="127"/>
      <c r="W3" s="66" t="s">
        <v>116</v>
      </c>
      <c r="X3" s="121"/>
      <c r="Y3" s="121"/>
      <c r="Z3" s="11" t="s">
        <v>22</v>
      </c>
    </row>
    <row r="4" ht="16.25" spans="1:26">
      <c r="A4" s="110">
        <f t="shared" si="0"/>
        <v>0.125</v>
      </c>
      <c r="B4" s="111">
        <v>2</v>
      </c>
      <c r="C4" s="112">
        <v>4.74</v>
      </c>
      <c r="D4" s="112">
        <v>4.81</v>
      </c>
      <c r="E4" s="112">
        <v>4.85</v>
      </c>
      <c r="F4" s="112">
        <v>4.92</v>
      </c>
      <c r="G4" s="112">
        <v>5.02</v>
      </c>
      <c r="H4" s="112">
        <v>5.17</v>
      </c>
      <c r="I4" s="112">
        <v>5.29</v>
      </c>
      <c r="J4" s="112">
        <v>5.47</v>
      </c>
      <c r="K4" s="112">
        <v>5.89</v>
      </c>
      <c r="L4" s="11" t="s">
        <v>25</v>
      </c>
      <c r="N4" s="33"/>
      <c r="O4" s="34"/>
      <c r="P4" s="34"/>
      <c r="Q4" s="34"/>
      <c r="R4" s="159"/>
      <c r="S4" s="160" t="s">
        <v>119</v>
      </c>
      <c r="T4" s="161"/>
      <c r="U4" s="161"/>
      <c r="V4" s="161"/>
      <c r="W4" s="66"/>
      <c r="X4" s="121"/>
      <c r="Y4" s="121"/>
      <c r="Z4" s="11" t="s">
        <v>25</v>
      </c>
    </row>
    <row r="5" ht="15.5" spans="1:26">
      <c r="A5" s="110">
        <f t="shared" si="0"/>
        <v>0.1875</v>
      </c>
      <c r="B5" s="111">
        <v>3</v>
      </c>
      <c r="C5" s="112">
        <v>4.74</v>
      </c>
      <c r="D5" s="112">
        <v>4.81</v>
      </c>
      <c r="E5" s="112">
        <v>4.85</v>
      </c>
      <c r="F5" s="112">
        <v>4.92</v>
      </c>
      <c r="G5" s="112">
        <v>5.02</v>
      </c>
      <c r="H5" s="112">
        <v>5.17</v>
      </c>
      <c r="I5" s="112">
        <v>5.29</v>
      </c>
      <c r="J5" s="112">
        <v>5.47</v>
      </c>
      <c r="K5" s="112">
        <v>5.89</v>
      </c>
      <c r="L5" s="11" t="s">
        <v>27</v>
      </c>
      <c r="N5" s="48"/>
      <c r="O5" s="49"/>
      <c r="P5" s="49"/>
      <c r="Q5" s="49"/>
      <c r="R5" s="162"/>
      <c r="S5" s="163" t="s">
        <v>120</v>
      </c>
      <c r="T5" s="164"/>
      <c r="U5" s="164"/>
      <c r="V5" s="164"/>
      <c r="W5" s="165"/>
      <c r="X5" s="166"/>
      <c r="Y5" s="118"/>
      <c r="Z5" s="11" t="s">
        <v>27</v>
      </c>
    </row>
    <row r="6" ht="16.25" spans="1:26">
      <c r="A6" s="110">
        <f t="shared" si="0"/>
        <v>0.25</v>
      </c>
      <c r="B6" s="111">
        <v>4</v>
      </c>
      <c r="C6" s="112">
        <v>4.74</v>
      </c>
      <c r="D6" s="112">
        <v>4.81</v>
      </c>
      <c r="E6" s="112">
        <v>4.85</v>
      </c>
      <c r="F6" s="112">
        <v>4.92</v>
      </c>
      <c r="G6" s="112">
        <v>5.02</v>
      </c>
      <c r="H6" s="112">
        <v>5.17</v>
      </c>
      <c r="I6" s="112">
        <v>5.29</v>
      </c>
      <c r="J6" s="112">
        <v>5.47</v>
      </c>
      <c r="K6" s="112">
        <v>5.89</v>
      </c>
      <c r="N6" s="27" t="s">
        <v>121</v>
      </c>
      <c r="O6" s="28"/>
      <c r="P6" s="28"/>
      <c r="Q6" s="28"/>
      <c r="R6" s="156"/>
      <c r="S6" s="126" t="s">
        <v>122</v>
      </c>
      <c r="T6" s="127"/>
      <c r="U6" s="127"/>
      <c r="V6" s="127"/>
      <c r="W6" s="167">
        <v>4.5</v>
      </c>
      <c r="X6" s="168"/>
      <c r="Y6" s="79" t="s">
        <v>91</v>
      </c>
    </row>
    <row r="7" ht="16.25" spans="1:26">
      <c r="A7" s="110">
        <f t="shared" si="0"/>
        <v>0.3125</v>
      </c>
      <c r="B7" s="111">
        <v>5</v>
      </c>
      <c r="C7" s="112">
        <v>5.2</v>
      </c>
      <c r="D7" s="112">
        <v>5.29</v>
      </c>
      <c r="E7" s="112">
        <v>5.33</v>
      </c>
      <c r="F7" s="112">
        <v>5.43</v>
      </c>
      <c r="G7" s="112">
        <v>5.48</v>
      </c>
      <c r="H7" s="112">
        <v>5.54</v>
      </c>
      <c r="I7" s="112">
        <v>5.65</v>
      </c>
      <c r="J7" s="112">
        <v>5.8</v>
      </c>
      <c r="K7" s="112">
        <v>6.24</v>
      </c>
      <c r="N7" s="33"/>
      <c r="O7" s="34"/>
      <c r="P7" s="34"/>
      <c r="Q7" s="34"/>
      <c r="R7" s="159"/>
      <c r="S7" s="169" t="s">
        <v>123</v>
      </c>
      <c r="T7" s="170"/>
      <c r="U7" s="170"/>
      <c r="V7" s="170"/>
      <c r="W7" s="171">
        <v>10</v>
      </c>
      <c r="X7" s="46"/>
      <c r="Y7" s="79" t="s">
        <v>87</v>
      </c>
    </row>
    <row r="8" ht="15.5" spans="1:26">
      <c r="A8" s="110">
        <f t="shared" si="0"/>
        <v>0.375</v>
      </c>
      <c r="B8" s="111">
        <v>6</v>
      </c>
      <c r="C8" s="112">
        <v>5.2</v>
      </c>
      <c r="D8" s="112">
        <v>5.29</v>
      </c>
      <c r="E8" s="112">
        <v>5.33</v>
      </c>
      <c r="F8" s="112">
        <v>5.43</v>
      </c>
      <c r="G8" s="112">
        <v>5.48</v>
      </c>
      <c r="H8" s="112">
        <v>5.54</v>
      </c>
      <c r="I8" s="112">
        <v>5.65</v>
      </c>
      <c r="J8" s="112">
        <v>5.8</v>
      </c>
      <c r="K8" s="112">
        <v>6.24</v>
      </c>
      <c r="N8" s="48"/>
      <c r="O8" s="49"/>
      <c r="P8" s="49"/>
      <c r="Q8" s="49"/>
      <c r="R8" s="162"/>
      <c r="S8" s="157" t="s">
        <v>124</v>
      </c>
      <c r="T8" s="172"/>
      <c r="U8" s="172"/>
      <c r="V8" s="172"/>
      <c r="W8" s="173">
        <v>21</v>
      </c>
      <c r="X8" s="174"/>
      <c r="Y8" s="79" t="s">
        <v>89</v>
      </c>
    </row>
    <row r="9" ht="15.5" spans="1:26">
      <c r="A9" s="110">
        <f t="shared" si="0"/>
        <v>0.4375</v>
      </c>
      <c r="B9" s="111">
        <v>7</v>
      </c>
      <c r="C9" s="112">
        <v>5.2</v>
      </c>
      <c r="D9" s="112">
        <v>5.29</v>
      </c>
      <c r="E9" s="112">
        <v>5.33</v>
      </c>
      <c r="F9" s="112">
        <v>5.43</v>
      </c>
      <c r="G9" s="112">
        <v>5.48</v>
      </c>
      <c r="H9" s="112">
        <v>5.54</v>
      </c>
      <c r="I9" s="112">
        <v>5.65</v>
      </c>
      <c r="J9" s="112">
        <v>5.8</v>
      </c>
      <c r="K9" s="112">
        <v>6.24</v>
      </c>
      <c r="N9" s="20" t="s">
        <v>125</v>
      </c>
      <c r="O9" s="21"/>
      <c r="P9" s="21"/>
      <c r="Q9" s="21"/>
      <c r="R9" s="175"/>
      <c r="S9" s="134" t="s">
        <v>126</v>
      </c>
      <c r="T9" s="135"/>
      <c r="U9" s="135"/>
      <c r="V9" s="135"/>
      <c r="W9" s="176">
        <v>3</v>
      </c>
      <c r="X9" s="177"/>
      <c r="Y9" s="79" t="s">
        <v>85</v>
      </c>
    </row>
    <row r="10" ht="16.25" spans="1:26">
      <c r="A10" s="110">
        <f t="shared" si="0"/>
        <v>0.5</v>
      </c>
      <c r="B10" s="111">
        <v>8</v>
      </c>
      <c r="C10" s="112">
        <v>5.2</v>
      </c>
      <c r="D10" s="112">
        <v>5.29</v>
      </c>
      <c r="E10" s="112">
        <v>5.33</v>
      </c>
      <c r="F10" s="112">
        <v>5.43</v>
      </c>
      <c r="G10" s="112">
        <v>5.48</v>
      </c>
      <c r="H10" s="112">
        <v>5.54</v>
      </c>
      <c r="I10" s="112">
        <v>5.65</v>
      </c>
      <c r="J10" s="112">
        <v>5.8</v>
      </c>
      <c r="K10" s="112">
        <v>6.24</v>
      </c>
      <c r="N10" s="33" t="s">
        <v>127</v>
      </c>
      <c r="O10" s="34"/>
      <c r="P10" s="34"/>
      <c r="Q10" s="34"/>
      <c r="R10" s="159"/>
      <c r="S10" s="178" t="s">
        <v>128</v>
      </c>
      <c r="T10" s="178"/>
      <c r="U10" s="178"/>
      <c r="V10" s="178"/>
      <c r="W10" s="167">
        <v>3.95</v>
      </c>
      <c r="X10" s="168"/>
      <c r="Y10" s="79" t="s">
        <v>129</v>
      </c>
    </row>
    <row r="11" ht="15.5" spans="1:26">
      <c r="A11" s="110">
        <f t="shared" si="0"/>
        <v>0.5625</v>
      </c>
      <c r="B11" s="111">
        <v>9</v>
      </c>
      <c r="C11" s="112">
        <v>5.29</v>
      </c>
      <c r="D11" s="112">
        <v>5.39</v>
      </c>
      <c r="E11" s="112">
        <v>5.45</v>
      </c>
      <c r="F11" s="112">
        <v>5.51</v>
      </c>
      <c r="G11" s="112">
        <v>5.61</v>
      </c>
      <c r="H11" s="112">
        <v>5.81</v>
      </c>
      <c r="I11" s="112">
        <v>5.95</v>
      </c>
      <c r="J11" s="112">
        <v>6.14</v>
      </c>
      <c r="K11" s="112">
        <v>6.6</v>
      </c>
      <c r="N11" s="48"/>
      <c r="O11" s="49"/>
      <c r="P11" s="49"/>
      <c r="Q11" s="49"/>
      <c r="R11" s="162"/>
      <c r="S11" s="178" t="s">
        <v>130</v>
      </c>
      <c r="T11" s="178"/>
      <c r="U11" s="178"/>
      <c r="V11" s="178"/>
      <c r="W11" s="179">
        <v>9.7</v>
      </c>
      <c r="X11" s="180"/>
      <c r="Y11" s="79" t="s">
        <v>131</v>
      </c>
    </row>
    <row r="12" ht="15.5" spans="1:26">
      <c r="A12" s="110">
        <f t="shared" si="0"/>
        <v>0.625</v>
      </c>
      <c r="B12" s="111">
        <v>10</v>
      </c>
      <c r="C12" s="112">
        <v>5.29</v>
      </c>
      <c r="D12" s="112">
        <v>5.39</v>
      </c>
      <c r="E12" s="112">
        <v>5.45</v>
      </c>
      <c r="F12" s="112">
        <v>5.51</v>
      </c>
      <c r="G12" s="112">
        <v>5.61</v>
      </c>
      <c r="H12" s="112">
        <v>5.81</v>
      </c>
      <c r="I12" s="112">
        <v>5.95</v>
      </c>
      <c r="J12" s="112">
        <v>6.14</v>
      </c>
      <c r="K12" s="112">
        <v>6.6</v>
      </c>
      <c r="N12" s="33" t="s">
        <v>132</v>
      </c>
      <c r="O12" s="34"/>
      <c r="P12" s="34"/>
      <c r="Q12" s="34"/>
      <c r="R12" s="159"/>
      <c r="S12" s="181" t="s">
        <v>133</v>
      </c>
      <c r="T12" s="182"/>
      <c r="U12" s="183" t="s">
        <v>134</v>
      </c>
      <c r="V12" s="184"/>
      <c r="W12" s="185" t="s">
        <v>135</v>
      </c>
      <c r="X12" s="186" t="s">
        <v>136</v>
      </c>
      <c r="Y12" s="187"/>
    </row>
    <row r="13" ht="15.5" spans="1:26">
      <c r="A13" s="110">
        <f t="shared" si="0"/>
        <v>0.6875</v>
      </c>
      <c r="B13" s="111">
        <v>11</v>
      </c>
      <c r="C13" s="112">
        <v>5.29</v>
      </c>
      <c r="D13" s="112">
        <v>5.39</v>
      </c>
      <c r="E13" s="112">
        <v>5.45</v>
      </c>
      <c r="F13" s="112">
        <v>5.51</v>
      </c>
      <c r="G13" s="112">
        <v>5.61</v>
      </c>
      <c r="H13" s="112">
        <v>5.81</v>
      </c>
      <c r="I13" s="112">
        <v>5.95</v>
      </c>
      <c r="J13" s="112">
        <v>6.14</v>
      </c>
      <c r="K13" s="112">
        <v>6.6</v>
      </c>
      <c r="N13" s="33"/>
      <c r="O13" s="34"/>
      <c r="P13" s="34"/>
      <c r="Q13" s="34"/>
      <c r="R13" s="159"/>
      <c r="S13" s="188"/>
      <c r="T13" s="189"/>
      <c r="U13" s="183" t="s">
        <v>137</v>
      </c>
      <c r="V13" s="184"/>
      <c r="W13" s="190">
        <v>0.3</v>
      </c>
      <c r="X13" s="191">
        <v>0.35</v>
      </c>
      <c r="Y13" s="192"/>
    </row>
    <row r="14" ht="15.5" spans="1:26">
      <c r="A14" s="110">
        <f t="shared" si="0"/>
        <v>0.75</v>
      </c>
      <c r="B14" s="111">
        <v>12</v>
      </c>
      <c r="C14" s="112">
        <v>5.29</v>
      </c>
      <c r="D14" s="112">
        <v>5.39</v>
      </c>
      <c r="E14" s="112">
        <v>5.45</v>
      </c>
      <c r="F14" s="112">
        <v>5.51</v>
      </c>
      <c r="G14" s="112">
        <v>5.61</v>
      </c>
      <c r="H14" s="112">
        <v>5.81</v>
      </c>
      <c r="I14" s="112">
        <v>5.95</v>
      </c>
      <c r="J14" s="112">
        <v>6.14</v>
      </c>
      <c r="K14" s="112">
        <v>6.6</v>
      </c>
      <c r="N14" s="33"/>
      <c r="O14" s="34"/>
      <c r="P14" s="34"/>
      <c r="Q14" s="34"/>
      <c r="R14" s="159"/>
      <c r="S14" s="188"/>
      <c r="T14" s="189"/>
      <c r="U14" s="183" t="s">
        <v>138</v>
      </c>
      <c r="V14" s="184"/>
      <c r="W14" s="190">
        <v>0.45</v>
      </c>
      <c r="X14" s="191">
        <v>0.75</v>
      </c>
      <c r="Y14" s="192"/>
    </row>
    <row r="15" ht="15.5" spans="1:26">
      <c r="A15" s="110">
        <f t="shared" si="0"/>
        <v>0.8125</v>
      </c>
      <c r="B15" s="111">
        <v>13</v>
      </c>
      <c r="C15" s="112">
        <v>6.7</v>
      </c>
      <c r="D15" s="112">
        <v>6.79</v>
      </c>
      <c r="E15" s="112">
        <v>6.87</v>
      </c>
      <c r="F15" s="112">
        <v>6.95</v>
      </c>
      <c r="G15" s="112">
        <v>7.15</v>
      </c>
      <c r="H15" s="112">
        <v>7.4</v>
      </c>
      <c r="I15" s="112">
        <v>7.58</v>
      </c>
      <c r="J15" s="112">
        <v>7.79</v>
      </c>
      <c r="K15" s="112">
        <v>7.78</v>
      </c>
      <c r="N15" s="33"/>
      <c r="O15" s="34"/>
      <c r="P15" s="34"/>
      <c r="Q15" s="34"/>
      <c r="R15" s="159"/>
      <c r="S15" s="188"/>
      <c r="T15" s="189"/>
      <c r="U15" s="183" t="s">
        <v>139</v>
      </c>
      <c r="V15" s="184"/>
      <c r="W15" s="190">
        <v>0.75</v>
      </c>
      <c r="X15" s="191">
        <v>1.25</v>
      </c>
      <c r="Y15" s="192"/>
    </row>
    <row r="16" ht="15.5" spans="1:26">
      <c r="A16" s="110">
        <f t="shared" si="0"/>
        <v>0.875</v>
      </c>
      <c r="B16" s="111">
        <v>14</v>
      </c>
      <c r="C16" s="112">
        <v>6.7</v>
      </c>
      <c r="D16" s="112">
        <v>6.79</v>
      </c>
      <c r="E16" s="112">
        <v>6.87</v>
      </c>
      <c r="F16" s="112">
        <v>6.95</v>
      </c>
      <c r="G16" s="112">
        <v>7.15</v>
      </c>
      <c r="H16" s="112">
        <v>7.4</v>
      </c>
      <c r="I16" s="112">
        <v>7.58</v>
      </c>
      <c r="J16" s="112">
        <v>7.79</v>
      </c>
      <c r="K16" s="112">
        <v>7.78</v>
      </c>
      <c r="N16" s="33"/>
      <c r="O16" s="34"/>
      <c r="P16" s="34"/>
      <c r="Q16" s="34"/>
      <c r="R16" s="159"/>
      <c r="S16" s="193"/>
      <c r="T16" s="194"/>
      <c r="U16" s="195" t="s">
        <v>140</v>
      </c>
      <c r="V16" s="196"/>
      <c r="W16" s="197">
        <v>2.25</v>
      </c>
      <c r="X16" s="198">
        <v>5.5</v>
      </c>
      <c r="Y16" s="192"/>
    </row>
    <row r="17" ht="15.5" spans="1:25">
      <c r="A17" s="110">
        <f t="shared" si="0"/>
        <v>0.9375</v>
      </c>
      <c r="B17" s="111">
        <v>15</v>
      </c>
      <c r="C17" s="112">
        <v>6.7</v>
      </c>
      <c r="D17" s="112">
        <v>6.79</v>
      </c>
      <c r="E17" s="112">
        <v>6.87</v>
      </c>
      <c r="F17" s="112">
        <v>6.95</v>
      </c>
      <c r="G17" s="112">
        <v>7.15</v>
      </c>
      <c r="H17" s="112">
        <v>7.4</v>
      </c>
      <c r="I17" s="112">
        <v>7.58</v>
      </c>
      <c r="J17" s="112">
        <v>7.79</v>
      </c>
      <c r="K17" s="112">
        <v>7.78</v>
      </c>
      <c r="N17" s="199" t="s">
        <v>141</v>
      </c>
      <c r="O17" s="200"/>
      <c r="P17" s="200"/>
      <c r="Q17" s="200"/>
      <c r="R17" s="201"/>
      <c r="S17" s="202" t="s">
        <v>142</v>
      </c>
      <c r="T17" s="203"/>
      <c r="U17" s="203"/>
      <c r="V17" s="203"/>
      <c r="W17" s="204">
        <v>2</v>
      </c>
      <c r="X17" s="205"/>
      <c r="Y17" s="76"/>
    </row>
    <row r="18" ht="15.5" spans="1:25">
      <c r="A18" s="111">
        <v>1</v>
      </c>
      <c r="B18" s="110">
        <f t="shared" ref="B18:B81" si="1">A18*16</f>
        <v>16</v>
      </c>
      <c r="C18" s="112">
        <v>7.39</v>
      </c>
      <c r="D18" s="112">
        <v>7.42</v>
      </c>
      <c r="E18" s="112">
        <v>7.54</v>
      </c>
      <c r="F18" s="112">
        <v>7.67</v>
      </c>
      <c r="G18" s="112">
        <v>7.83</v>
      </c>
      <c r="H18" s="112">
        <v>8.56</v>
      </c>
      <c r="I18" s="112">
        <v>8.82</v>
      </c>
      <c r="J18" s="112">
        <v>9.16</v>
      </c>
      <c r="K18" s="112">
        <v>9.88</v>
      </c>
      <c r="N18" s="199" t="s">
        <v>143</v>
      </c>
      <c r="O18" s="200"/>
      <c r="P18" s="200"/>
      <c r="Q18" s="200"/>
      <c r="R18" s="201"/>
      <c r="S18" s="202" t="s">
        <v>144</v>
      </c>
      <c r="T18" s="203"/>
      <c r="U18" s="203"/>
      <c r="V18" s="203"/>
      <c r="W18" s="176">
        <v>4.5</v>
      </c>
      <c r="X18" s="177"/>
      <c r="Y18" s="79" t="s">
        <v>82</v>
      </c>
    </row>
    <row r="19" ht="15.5" spans="1:25">
      <c r="A19" s="111">
        <v>2</v>
      </c>
      <c r="B19" s="110">
        <f t="shared" si="1"/>
        <v>32</v>
      </c>
      <c r="C19" s="112">
        <v>7.87</v>
      </c>
      <c r="D19" s="112">
        <v>7.98</v>
      </c>
      <c r="E19" s="112">
        <v>8.22</v>
      </c>
      <c r="F19" s="112">
        <v>8.45</v>
      </c>
      <c r="G19" s="112">
        <v>9.01</v>
      </c>
      <c r="H19" s="112">
        <v>10.47</v>
      </c>
      <c r="I19" s="112">
        <v>10.8</v>
      </c>
      <c r="J19" s="112">
        <v>11.25</v>
      </c>
      <c r="K19" s="112">
        <v>11.92</v>
      </c>
    </row>
    <row r="20" ht="15.5" spans="1:25">
      <c r="A20" s="111">
        <v>3</v>
      </c>
      <c r="B20" s="110">
        <f t="shared" si="1"/>
        <v>48</v>
      </c>
      <c r="C20" s="112">
        <v>8.46</v>
      </c>
      <c r="D20" s="112">
        <v>8.49</v>
      </c>
      <c r="E20" s="112">
        <v>9.35</v>
      </c>
      <c r="F20" s="112">
        <v>9.59</v>
      </c>
      <c r="G20" s="112">
        <v>10.38</v>
      </c>
      <c r="H20" s="112">
        <v>11.94</v>
      </c>
      <c r="I20" s="112">
        <v>12.68</v>
      </c>
      <c r="J20" s="112">
        <v>13.55</v>
      </c>
      <c r="K20" s="112">
        <v>14.58</v>
      </c>
    </row>
    <row r="21" ht="15.5" spans="1:25">
      <c r="A21" s="111">
        <v>4</v>
      </c>
      <c r="B21" s="110">
        <f t="shared" si="1"/>
        <v>64</v>
      </c>
      <c r="C21" s="112">
        <v>8.34</v>
      </c>
      <c r="D21" s="112">
        <v>8.37</v>
      </c>
      <c r="E21" s="112">
        <v>9.31</v>
      </c>
      <c r="F21" s="112">
        <v>10.05</v>
      </c>
      <c r="G21" s="112">
        <v>11.45</v>
      </c>
      <c r="H21" s="112">
        <v>13.03</v>
      </c>
      <c r="I21" s="112">
        <v>14.05</v>
      </c>
      <c r="J21" s="112">
        <v>14.94</v>
      </c>
      <c r="K21" s="112">
        <v>16.68</v>
      </c>
    </row>
    <row r="22" ht="15.5" spans="1:25">
      <c r="A22" s="111">
        <v>5</v>
      </c>
      <c r="B22" s="110">
        <f t="shared" si="1"/>
        <v>80</v>
      </c>
      <c r="C22" s="112">
        <v>8.72</v>
      </c>
      <c r="D22" s="112">
        <v>8.8</v>
      </c>
      <c r="E22" s="112">
        <v>9.83</v>
      </c>
      <c r="F22" s="112">
        <v>10.54</v>
      </c>
      <c r="G22" s="112">
        <v>12.08</v>
      </c>
      <c r="H22" s="112">
        <v>13.61</v>
      </c>
      <c r="I22" s="112">
        <v>14.9</v>
      </c>
      <c r="J22" s="112">
        <v>16.28</v>
      </c>
      <c r="K22" s="112">
        <v>17.77</v>
      </c>
    </row>
    <row r="23" ht="15.5" spans="1:25">
      <c r="A23" s="111">
        <v>6</v>
      </c>
      <c r="B23" s="110">
        <f t="shared" si="1"/>
        <v>96</v>
      </c>
      <c r="C23" s="112">
        <v>8.77</v>
      </c>
      <c r="D23" s="112">
        <v>8.77</v>
      </c>
      <c r="E23" s="112">
        <v>9.98</v>
      </c>
      <c r="F23" s="112">
        <v>10.99</v>
      </c>
      <c r="G23" s="112">
        <v>12.72</v>
      </c>
      <c r="H23" s="112">
        <v>14.28</v>
      </c>
      <c r="I23" s="112">
        <v>15.77</v>
      </c>
      <c r="J23" s="112">
        <v>17.37</v>
      </c>
      <c r="K23" s="112">
        <v>19.15</v>
      </c>
    </row>
    <row r="24" ht="15.5" spans="1:25">
      <c r="A24" s="111">
        <v>7</v>
      </c>
      <c r="B24" s="110">
        <f t="shared" si="1"/>
        <v>112</v>
      </c>
      <c r="C24" s="112">
        <v>8.98</v>
      </c>
      <c r="D24" s="112">
        <v>9.01</v>
      </c>
      <c r="E24" s="112">
        <v>9.92</v>
      </c>
      <c r="F24" s="112">
        <v>11.27</v>
      </c>
      <c r="G24" s="112">
        <v>13.28</v>
      </c>
      <c r="H24" s="112">
        <v>15.06</v>
      </c>
      <c r="I24" s="112">
        <v>16.49</v>
      </c>
      <c r="J24" s="112">
        <v>18.7</v>
      </c>
      <c r="K24" s="112">
        <v>20.21</v>
      </c>
    </row>
    <row r="25" ht="15.5" spans="1:25">
      <c r="A25" s="111">
        <v>8</v>
      </c>
      <c r="B25" s="110">
        <f t="shared" si="1"/>
        <v>128</v>
      </c>
      <c r="C25" s="112">
        <v>9.06</v>
      </c>
      <c r="D25" s="112">
        <v>9.1</v>
      </c>
      <c r="E25" s="112">
        <v>10.34</v>
      </c>
      <c r="F25" s="112">
        <v>11.18</v>
      </c>
      <c r="G25" s="112">
        <v>13.72</v>
      </c>
      <c r="H25" s="112">
        <v>15.79</v>
      </c>
      <c r="I25" s="112">
        <v>17.1</v>
      </c>
      <c r="J25" s="112">
        <v>19.55</v>
      </c>
      <c r="K25" s="112">
        <v>21.2</v>
      </c>
    </row>
    <row r="26" ht="15.5" spans="1:25">
      <c r="A26" s="111">
        <v>9</v>
      </c>
      <c r="B26" s="110">
        <f t="shared" si="1"/>
        <v>144</v>
      </c>
      <c r="C26" s="112">
        <v>9.55</v>
      </c>
      <c r="D26" s="112">
        <v>9.61</v>
      </c>
      <c r="E26" s="112">
        <v>10.85</v>
      </c>
      <c r="F26" s="112">
        <v>11.77</v>
      </c>
      <c r="G26" s="112">
        <v>14.2</v>
      </c>
      <c r="H26" s="112">
        <v>15.93</v>
      </c>
      <c r="I26" s="112">
        <v>17.83</v>
      </c>
      <c r="J26" s="112">
        <v>20.5</v>
      </c>
      <c r="K26" s="112">
        <v>22.31</v>
      </c>
    </row>
    <row r="27" ht="15.5" spans="1:25">
      <c r="A27" s="111">
        <v>10</v>
      </c>
      <c r="B27" s="110">
        <f t="shared" si="1"/>
        <v>160</v>
      </c>
      <c r="C27" s="112">
        <v>10.17</v>
      </c>
      <c r="D27" s="112">
        <v>10.22</v>
      </c>
      <c r="E27" s="112">
        <v>11.38</v>
      </c>
      <c r="F27" s="112">
        <v>12.37</v>
      </c>
      <c r="G27" s="112">
        <v>14.69</v>
      </c>
      <c r="H27" s="112">
        <v>16.25</v>
      </c>
      <c r="I27" s="112">
        <v>18.63</v>
      </c>
      <c r="J27" s="112">
        <v>21.23</v>
      </c>
      <c r="K27" s="112">
        <v>23.46</v>
      </c>
    </row>
    <row r="28" ht="15.5" spans="1:25">
      <c r="A28" s="111">
        <v>11</v>
      </c>
      <c r="B28" s="110">
        <f t="shared" si="1"/>
        <v>176</v>
      </c>
      <c r="C28" s="112">
        <v>11.07</v>
      </c>
      <c r="D28" s="112">
        <v>11.1</v>
      </c>
      <c r="E28" s="112">
        <v>11.93</v>
      </c>
      <c r="F28" s="112">
        <v>13</v>
      </c>
      <c r="G28" s="112">
        <v>15.8</v>
      </c>
      <c r="H28" s="112">
        <v>17.37</v>
      </c>
      <c r="I28" s="112">
        <v>20.02</v>
      </c>
      <c r="J28" s="112">
        <v>23.11</v>
      </c>
      <c r="K28" s="112">
        <v>25.34</v>
      </c>
    </row>
    <row r="29" ht="15.5" spans="1:25">
      <c r="A29" s="111">
        <v>12</v>
      </c>
      <c r="B29" s="110">
        <f t="shared" si="1"/>
        <v>192</v>
      </c>
      <c r="C29" s="112">
        <v>11.62</v>
      </c>
      <c r="D29" s="112">
        <v>11.67</v>
      </c>
      <c r="E29" s="112">
        <v>12.46</v>
      </c>
      <c r="F29" s="112">
        <v>13.6</v>
      </c>
      <c r="G29" s="112">
        <v>16.42</v>
      </c>
      <c r="H29" s="112">
        <v>18.77</v>
      </c>
      <c r="I29" s="112">
        <v>20.92</v>
      </c>
      <c r="J29" s="112">
        <v>24.24</v>
      </c>
      <c r="K29" s="112">
        <v>26.6</v>
      </c>
    </row>
    <row r="30" ht="15.5" spans="1:25">
      <c r="A30" s="111">
        <v>13</v>
      </c>
      <c r="B30" s="110">
        <f t="shared" si="1"/>
        <v>208</v>
      </c>
      <c r="C30" s="112">
        <v>12.14</v>
      </c>
      <c r="D30" s="112">
        <v>12.21</v>
      </c>
      <c r="E30" s="112">
        <v>12.98</v>
      </c>
      <c r="F30" s="112">
        <v>14.19</v>
      </c>
      <c r="G30" s="112">
        <v>17.09</v>
      </c>
      <c r="H30" s="112">
        <v>19.57</v>
      </c>
      <c r="I30" s="112">
        <v>21.82</v>
      </c>
      <c r="J30" s="112">
        <v>25.4</v>
      </c>
      <c r="K30" s="112">
        <v>27.88</v>
      </c>
    </row>
    <row r="31" ht="15.5" spans="1:25">
      <c r="A31" s="111">
        <v>14</v>
      </c>
      <c r="B31" s="110">
        <f t="shared" si="1"/>
        <v>224</v>
      </c>
      <c r="C31" s="112">
        <v>12.58</v>
      </c>
      <c r="D31" s="112">
        <v>12.69</v>
      </c>
      <c r="E31" s="112">
        <v>13.45</v>
      </c>
      <c r="F31" s="112">
        <v>14.73</v>
      </c>
      <c r="G31" s="112">
        <v>17.8</v>
      </c>
      <c r="H31" s="112">
        <v>20.39</v>
      </c>
      <c r="I31" s="112">
        <v>22.76</v>
      </c>
      <c r="J31" s="112">
        <v>26.59</v>
      </c>
      <c r="K31" s="112">
        <v>29.19</v>
      </c>
    </row>
    <row r="32" ht="15.5" spans="1:25">
      <c r="A32" s="111">
        <v>15</v>
      </c>
      <c r="B32" s="110">
        <f t="shared" si="1"/>
        <v>240</v>
      </c>
      <c r="C32" s="112">
        <v>12.95</v>
      </c>
      <c r="D32" s="112">
        <v>13.07</v>
      </c>
      <c r="E32" s="112">
        <v>13.87</v>
      </c>
      <c r="F32" s="112">
        <v>15.2</v>
      </c>
      <c r="G32" s="112">
        <v>18.53</v>
      </c>
      <c r="H32" s="112">
        <v>21.24</v>
      </c>
      <c r="I32" s="112">
        <v>23.72</v>
      </c>
      <c r="J32" s="112">
        <v>27.75</v>
      </c>
      <c r="K32" s="112">
        <v>30.47</v>
      </c>
    </row>
    <row r="33" ht="15.5" spans="1:11">
      <c r="A33" s="111">
        <v>16</v>
      </c>
      <c r="B33" s="110">
        <f t="shared" si="1"/>
        <v>256</v>
      </c>
      <c r="C33" s="112">
        <v>13.25</v>
      </c>
      <c r="D33" s="112">
        <v>13.38</v>
      </c>
      <c r="E33" s="112">
        <v>14.21</v>
      </c>
      <c r="F33" s="112">
        <v>15.62</v>
      </c>
      <c r="G33" s="112">
        <v>19.21</v>
      </c>
      <c r="H33" s="112">
        <v>22.04</v>
      </c>
      <c r="I33" s="112">
        <v>24.65</v>
      </c>
      <c r="J33" s="112">
        <v>28.9</v>
      </c>
      <c r="K33" s="112">
        <v>31.75</v>
      </c>
    </row>
    <row r="34" ht="15.5" spans="1:11">
      <c r="A34" s="111">
        <v>17</v>
      </c>
      <c r="B34" s="110">
        <f t="shared" si="1"/>
        <v>272</v>
      </c>
      <c r="C34" s="112">
        <v>13.54</v>
      </c>
      <c r="D34" s="112">
        <v>13.7</v>
      </c>
      <c r="E34" s="112">
        <v>14.58</v>
      </c>
      <c r="F34" s="112">
        <v>16.05</v>
      </c>
      <c r="G34" s="112">
        <v>19.66</v>
      </c>
      <c r="H34" s="112">
        <v>22.68</v>
      </c>
      <c r="I34" s="112">
        <v>25.39</v>
      </c>
      <c r="J34" s="112">
        <v>29.87</v>
      </c>
      <c r="K34" s="112">
        <v>32.8</v>
      </c>
    </row>
    <row r="35" ht="15.5" spans="1:11">
      <c r="A35" s="111">
        <v>18</v>
      </c>
      <c r="B35" s="110">
        <f t="shared" si="1"/>
        <v>288</v>
      </c>
      <c r="C35" s="112">
        <v>13.88</v>
      </c>
      <c r="D35" s="112">
        <v>14.04</v>
      </c>
      <c r="E35" s="112">
        <v>14.96</v>
      </c>
      <c r="F35" s="112">
        <v>16.48</v>
      </c>
      <c r="G35" s="112">
        <v>20.19</v>
      </c>
      <c r="H35" s="112">
        <v>23.4</v>
      </c>
      <c r="I35" s="112">
        <v>26.21</v>
      </c>
      <c r="J35" s="112">
        <v>30.87</v>
      </c>
      <c r="K35" s="112">
        <v>33.93</v>
      </c>
    </row>
    <row r="36" ht="15.5" spans="1:11">
      <c r="A36" s="111">
        <v>19</v>
      </c>
      <c r="B36" s="110">
        <f t="shared" si="1"/>
        <v>304</v>
      </c>
      <c r="C36" s="112">
        <v>14.2</v>
      </c>
      <c r="D36" s="112">
        <v>14.39</v>
      </c>
      <c r="E36" s="112">
        <v>15.33</v>
      </c>
      <c r="F36" s="112">
        <v>16.91</v>
      </c>
      <c r="G36" s="112">
        <v>20.74</v>
      </c>
      <c r="H36" s="112">
        <v>24.08</v>
      </c>
      <c r="I36" s="112">
        <v>27.04</v>
      </c>
      <c r="J36" s="112">
        <v>31.89</v>
      </c>
      <c r="K36" s="112">
        <v>35.04</v>
      </c>
    </row>
    <row r="37" ht="15.5" spans="1:11">
      <c r="A37" s="111">
        <v>20</v>
      </c>
      <c r="B37" s="110">
        <f t="shared" si="1"/>
        <v>320</v>
      </c>
      <c r="C37" s="112">
        <v>14.82</v>
      </c>
      <c r="D37" s="112">
        <v>15.21</v>
      </c>
      <c r="E37" s="112">
        <v>16.29</v>
      </c>
      <c r="F37" s="112">
        <v>17.49</v>
      </c>
      <c r="G37" s="112">
        <v>22.37</v>
      </c>
      <c r="H37" s="112">
        <v>26.61</v>
      </c>
      <c r="I37" s="112">
        <v>31.28</v>
      </c>
      <c r="J37" s="112">
        <v>35.76</v>
      </c>
      <c r="K37" s="112">
        <v>37.4</v>
      </c>
    </row>
    <row r="38" ht="15.5" spans="1:11">
      <c r="A38" s="111">
        <v>21</v>
      </c>
      <c r="B38" s="110">
        <f t="shared" si="1"/>
        <v>336</v>
      </c>
      <c r="C38" s="112">
        <v>17.11</v>
      </c>
      <c r="D38" s="112">
        <v>18.09</v>
      </c>
      <c r="E38" s="112">
        <v>19.13</v>
      </c>
      <c r="F38" s="112">
        <v>20.18</v>
      </c>
      <c r="G38" s="112">
        <v>24.19</v>
      </c>
      <c r="H38" s="112">
        <v>29.34</v>
      </c>
      <c r="I38" s="112">
        <v>35.15</v>
      </c>
      <c r="J38" s="112">
        <v>39.82</v>
      </c>
      <c r="K38" s="112">
        <v>39.82</v>
      </c>
    </row>
    <row r="39" ht="15.5" spans="1:11">
      <c r="A39" s="111">
        <v>22</v>
      </c>
      <c r="B39" s="110">
        <f t="shared" si="1"/>
        <v>352</v>
      </c>
      <c r="C39" s="112">
        <v>18.39</v>
      </c>
      <c r="D39" s="112">
        <v>19.65</v>
      </c>
      <c r="E39" s="112">
        <v>20.92</v>
      </c>
      <c r="F39" s="112">
        <v>22.29</v>
      </c>
      <c r="G39" s="112">
        <v>27.27</v>
      </c>
      <c r="H39" s="112">
        <v>34.01</v>
      </c>
      <c r="I39" s="112">
        <v>41.05</v>
      </c>
      <c r="J39" s="112">
        <v>46.06</v>
      </c>
      <c r="K39" s="112">
        <v>46.06</v>
      </c>
    </row>
    <row r="40" ht="15.5" spans="1:11">
      <c r="A40" s="111">
        <v>23</v>
      </c>
      <c r="B40" s="110">
        <f t="shared" si="1"/>
        <v>368</v>
      </c>
      <c r="C40" s="112">
        <v>19.92</v>
      </c>
      <c r="D40" s="112">
        <v>21.44</v>
      </c>
      <c r="E40" s="112">
        <v>23.07</v>
      </c>
      <c r="F40" s="112">
        <v>25.31</v>
      </c>
      <c r="G40" s="112">
        <v>31.53</v>
      </c>
      <c r="H40" s="112">
        <v>40.08</v>
      </c>
      <c r="I40" s="112">
        <v>48.28</v>
      </c>
      <c r="J40" s="112">
        <v>54.08</v>
      </c>
      <c r="K40" s="112">
        <v>54.08</v>
      </c>
    </row>
    <row r="41" ht="15.5" spans="1:11">
      <c r="A41" s="111">
        <v>24</v>
      </c>
      <c r="B41" s="110">
        <f t="shared" si="1"/>
        <v>384</v>
      </c>
      <c r="C41" s="112">
        <v>21.7</v>
      </c>
      <c r="D41" s="112">
        <v>23.4</v>
      </c>
      <c r="E41" s="112">
        <v>25.59</v>
      </c>
      <c r="F41" s="112">
        <v>29.28</v>
      </c>
      <c r="G41" s="112">
        <v>36.98</v>
      </c>
      <c r="H41" s="112">
        <v>47.48</v>
      </c>
      <c r="I41" s="112">
        <v>56.85</v>
      </c>
      <c r="J41" s="112">
        <v>63.86</v>
      </c>
      <c r="K41" s="112">
        <v>63.86</v>
      </c>
    </row>
    <row r="42" ht="15.5" spans="1:11">
      <c r="A42" s="111">
        <v>25</v>
      </c>
      <c r="B42" s="110">
        <f t="shared" si="1"/>
        <v>400</v>
      </c>
      <c r="C42" s="112">
        <v>23.44</v>
      </c>
      <c r="D42" s="112">
        <v>25.5</v>
      </c>
      <c r="E42" s="112">
        <v>28.44</v>
      </c>
      <c r="F42" s="112">
        <v>33.89</v>
      </c>
      <c r="G42" s="112">
        <v>43.46</v>
      </c>
      <c r="H42" s="112">
        <v>53.93</v>
      </c>
      <c r="I42" s="112">
        <v>63.76</v>
      </c>
      <c r="J42" s="112">
        <v>72.4</v>
      </c>
      <c r="K42" s="112">
        <v>72.4</v>
      </c>
    </row>
    <row r="43" ht="15.5" spans="1:11">
      <c r="A43" s="111">
        <v>26</v>
      </c>
      <c r="B43" s="110">
        <f t="shared" si="1"/>
        <v>416</v>
      </c>
      <c r="C43" s="112">
        <v>24.32</v>
      </c>
      <c r="D43" s="112">
        <v>26.56</v>
      </c>
      <c r="E43" s="112">
        <v>29.87</v>
      </c>
      <c r="F43" s="112">
        <v>36.18</v>
      </c>
      <c r="G43" s="112">
        <v>46.72</v>
      </c>
      <c r="H43" s="112">
        <v>57.16</v>
      </c>
      <c r="I43" s="112">
        <v>67.23</v>
      </c>
      <c r="J43" s="112">
        <v>76.67</v>
      </c>
      <c r="K43" s="112">
        <v>76.67</v>
      </c>
    </row>
    <row r="44" ht="15.5" spans="1:11">
      <c r="A44" s="111">
        <v>27</v>
      </c>
      <c r="B44" s="110">
        <f t="shared" si="1"/>
        <v>432</v>
      </c>
      <c r="C44" s="112">
        <v>25.19</v>
      </c>
      <c r="D44" s="112">
        <v>27.63</v>
      </c>
      <c r="E44" s="112">
        <v>31.31</v>
      </c>
      <c r="F44" s="112">
        <v>38.5</v>
      </c>
      <c r="G44" s="112">
        <v>49.96</v>
      </c>
      <c r="H44" s="112">
        <v>60.41</v>
      </c>
      <c r="I44" s="112">
        <v>70.69</v>
      </c>
      <c r="J44" s="112">
        <v>80.98</v>
      </c>
      <c r="K44" s="112">
        <v>80.98</v>
      </c>
    </row>
    <row r="45" ht="15.5" spans="1:11">
      <c r="A45" s="111">
        <v>28</v>
      </c>
      <c r="B45" s="110">
        <f t="shared" si="1"/>
        <v>448</v>
      </c>
      <c r="C45" s="112">
        <v>25.9</v>
      </c>
      <c r="D45" s="112">
        <v>28.43</v>
      </c>
      <c r="E45" s="112">
        <v>32.27</v>
      </c>
      <c r="F45" s="112">
        <v>39.68</v>
      </c>
      <c r="G45" s="112">
        <v>51.62</v>
      </c>
      <c r="H45" s="112">
        <v>62.49</v>
      </c>
      <c r="I45" s="112">
        <v>73.17</v>
      </c>
      <c r="J45" s="112">
        <v>83.82</v>
      </c>
      <c r="K45" s="112">
        <v>83.82</v>
      </c>
    </row>
    <row r="46" ht="15.5" spans="1:11">
      <c r="A46" s="111">
        <v>29</v>
      </c>
      <c r="B46" s="110">
        <f t="shared" si="1"/>
        <v>464</v>
      </c>
      <c r="C46" s="112">
        <v>26.59</v>
      </c>
      <c r="D46" s="112">
        <v>29.21</v>
      </c>
      <c r="E46" s="112">
        <v>33.21</v>
      </c>
      <c r="F46" s="112">
        <v>40.84</v>
      </c>
      <c r="G46" s="112">
        <v>53.27</v>
      </c>
      <c r="H46" s="112">
        <v>64.53</v>
      </c>
      <c r="I46" s="112">
        <v>75.6</v>
      </c>
      <c r="J46" s="112">
        <v>86.65</v>
      </c>
      <c r="K46" s="112">
        <v>86.65</v>
      </c>
    </row>
    <row r="47" ht="15.5" spans="1:11">
      <c r="A47" s="111">
        <v>30</v>
      </c>
      <c r="B47" s="110">
        <f t="shared" si="1"/>
        <v>480</v>
      </c>
      <c r="C47" s="112">
        <v>27.28</v>
      </c>
      <c r="D47" s="112">
        <v>29.98</v>
      </c>
      <c r="E47" s="112">
        <v>34.13</v>
      </c>
      <c r="F47" s="112">
        <v>41.98</v>
      </c>
      <c r="G47" s="112">
        <v>54.89</v>
      </c>
      <c r="H47" s="112">
        <v>66.56</v>
      </c>
      <c r="I47" s="112">
        <v>78</v>
      </c>
      <c r="J47" s="112">
        <v>89.44</v>
      </c>
      <c r="K47" s="112">
        <v>89.44</v>
      </c>
    </row>
    <row r="48" ht="15.5" spans="1:11">
      <c r="A48" s="111">
        <v>31</v>
      </c>
      <c r="B48" s="110">
        <f t="shared" si="1"/>
        <v>496</v>
      </c>
      <c r="C48" s="112">
        <v>27.94</v>
      </c>
      <c r="D48" s="112">
        <v>30.76</v>
      </c>
      <c r="E48" s="112">
        <v>35.04</v>
      </c>
      <c r="F48" s="112">
        <v>43.1</v>
      </c>
      <c r="G48" s="112">
        <v>56.48</v>
      </c>
      <c r="H48" s="112">
        <v>68.54</v>
      </c>
      <c r="I48" s="112">
        <v>80.37</v>
      </c>
      <c r="J48" s="112">
        <v>92.19</v>
      </c>
      <c r="K48" s="112">
        <v>92.19</v>
      </c>
    </row>
    <row r="49" ht="15.5" spans="1:11">
      <c r="A49" s="111">
        <v>32</v>
      </c>
      <c r="B49" s="110">
        <f t="shared" si="1"/>
        <v>512</v>
      </c>
      <c r="C49" s="112">
        <v>28.61</v>
      </c>
      <c r="D49" s="112">
        <v>31.52</v>
      </c>
      <c r="E49" s="112">
        <v>35.93</v>
      </c>
      <c r="F49" s="112">
        <v>44.19</v>
      </c>
      <c r="G49" s="112">
        <v>58.04</v>
      </c>
      <c r="H49" s="112">
        <v>70.49</v>
      </c>
      <c r="I49" s="112">
        <v>82.71</v>
      </c>
      <c r="J49" s="112">
        <v>94.92</v>
      </c>
      <c r="K49" s="112">
        <v>94.92</v>
      </c>
    </row>
    <row r="50" ht="15.5" spans="1:11">
      <c r="A50" s="111">
        <v>33</v>
      </c>
      <c r="B50" s="110">
        <f t="shared" si="1"/>
        <v>528</v>
      </c>
      <c r="C50" s="112">
        <v>29.28</v>
      </c>
      <c r="D50" s="112">
        <v>32.26</v>
      </c>
      <c r="E50" s="112">
        <v>36.81</v>
      </c>
      <c r="F50" s="112">
        <v>45.26</v>
      </c>
      <c r="G50" s="112">
        <v>59.62</v>
      </c>
      <c r="H50" s="112">
        <v>72.44</v>
      </c>
      <c r="I50" s="112">
        <v>85.03</v>
      </c>
      <c r="J50" s="112">
        <v>97.61</v>
      </c>
      <c r="K50" s="112">
        <v>97.61</v>
      </c>
    </row>
    <row r="51" ht="15.5" spans="1:11">
      <c r="A51" s="111">
        <v>34</v>
      </c>
      <c r="B51" s="110">
        <f t="shared" si="1"/>
        <v>544</v>
      </c>
      <c r="C51" s="112">
        <v>29.93</v>
      </c>
      <c r="D51" s="112">
        <v>33.01</v>
      </c>
      <c r="E51" s="112">
        <v>37.67</v>
      </c>
      <c r="F51" s="112">
        <v>46.33</v>
      </c>
      <c r="G51" s="112">
        <v>61.15</v>
      </c>
      <c r="H51" s="112">
        <v>74.35</v>
      </c>
      <c r="I51" s="112">
        <v>87.31</v>
      </c>
      <c r="J51" s="112">
        <v>100.27</v>
      </c>
      <c r="K51" s="112">
        <v>100.27</v>
      </c>
    </row>
    <row r="52" ht="15.5" spans="1:11">
      <c r="A52" s="111">
        <v>35</v>
      </c>
      <c r="B52" s="110">
        <f t="shared" si="1"/>
        <v>560</v>
      </c>
      <c r="C52" s="112">
        <v>30.59</v>
      </c>
      <c r="D52" s="112">
        <v>33.73</v>
      </c>
      <c r="E52" s="112">
        <v>38.53</v>
      </c>
      <c r="F52" s="112">
        <v>47.39</v>
      </c>
      <c r="G52" s="112">
        <v>62.68</v>
      </c>
      <c r="H52" s="112">
        <v>76.27</v>
      </c>
      <c r="I52" s="112">
        <v>89.6</v>
      </c>
      <c r="J52" s="112">
        <v>102.93</v>
      </c>
      <c r="K52" s="112">
        <v>102.93</v>
      </c>
    </row>
    <row r="53" ht="15.5" spans="1:11">
      <c r="A53" s="111">
        <v>36</v>
      </c>
      <c r="B53" s="110">
        <f t="shared" si="1"/>
        <v>576</v>
      </c>
      <c r="C53" s="112">
        <v>31.21</v>
      </c>
      <c r="D53" s="112">
        <v>34.45</v>
      </c>
      <c r="E53" s="112">
        <v>39.36</v>
      </c>
      <c r="F53" s="112">
        <v>48.38</v>
      </c>
      <c r="G53" s="112">
        <v>64.13</v>
      </c>
      <c r="H53" s="112">
        <v>78.08</v>
      </c>
      <c r="I53" s="112">
        <v>91.8</v>
      </c>
      <c r="J53" s="112">
        <v>105.5</v>
      </c>
      <c r="K53" s="112">
        <v>105.5</v>
      </c>
    </row>
    <row r="54" ht="15.5" spans="1:11">
      <c r="A54" s="111">
        <v>37</v>
      </c>
      <c r="B54" s="110">
        <f t="shared" si="1"/>
        <v>592</v>
      </c>
      <c r="C54" s="112">
        <v>31.86</v>
      </c>
      <c r="D54" s="112">
        <v>35.18</v>
      </c>
      <c r="E54" s="112">
        <v>40.19</v>
      </c>
      <c r="F54" s="112">
        <v>49.4</v>
      </c>
      <c r="G54" s="112">
        <v>65.61</v>
      </c>
      <c r="H54" s="112">
        <v>79.93</v>
      </c>
      <c r="I54" s="112">
        <v>94.02</v>
      </c>
      <c r="J54" s="112">
        <v>108.09</v>
      </c>
      <c r="K54" s="112">
        <v>108.09</v>
      </c>
    </row>
    <row r="55" ht="15.5" spans="1:11">
      <c r="A55" s="111">
        <v>38</v>
      </c>
      <c r="B55" s="110">
        <f t="shared" si="1"/>
        <v>608</v>
      </c>
      <c r="C55" s="112">
        <v>32.48</v>
      </c>
      <c r="D55" s="112">
        <v>35.88</v>
      </c>
      <c r="E55" s="112">
        <v>41</v>
      </c>
      <c r="F55" s="112">
        <v>50.41</v>
      </c>
      <c r="G55" s="112">
        <v>67.07</v>
      </c>
      <c r="H55" s="112">
        <v>81.77</v>
      </c>
      <c r="I55" s="112">
        <v>96.2</v>
      </c>
      <c r="J55" s="112">
        <v>110.66</v>
      </c>
      <c r="K55" s="112">
        <v>110.66</v>
      </c>
    </row>
    <row r="56" ht="15.5" spans="1:11">
      <c r="A56" s="111">
        <v>39</v>
      </c>
      <c r="B56" s="110">
        <f t="shared" si="1"/>
        <v>624</v>
      </c>
      <c r="C56" s="112">
        <v>33.12</v>
      </c>
      <c r="D56" s="112">
        <v>36.57</v>
      </c>
      <c r="E56" s="112">
        <v>41.79</v>
      </c>
      <c r="F56" s="112">
        <v>51.38</v>
      </c>
      <c r="G56" s="112">
        <v>68.52</v>
      </c>
      <c r="H56" s="112">
        <v>83.58</v>
      </c>
      <c r="I56" s="112">
        <v>98.35</v>
      </c>
      <c r="J56" s="112">
        <v>113.19</v>
      </c>
      <c r="K56" s="112">
        <v>113.19</v>
      </c>
    </row>
    <row r="57" ht="15.5" spans="1:11">
      <c r="A57" s="111">
        <v>40</v>
      </c>
      <c r="B57" s="110">
        <f t="shared" si="1"/>
        <v>640</v>
      </c>
      <c r="C57" s="112">
        <v>33.74</v>
      </c>
      <c r="D57" s="112">
        <v>37.26</v>
      </c>
      <c r="E57" s="112">
        <v>42.57</v>
      </c>
      <c r="F57" s="112">
        <v>52.35</v>
      </c>
      <c r="G57" s="112">
        <v>69.92</v>
      </c>
      <c r="H57" s="112">
        <v>85.34</v>
      </c>
      <c r="I57" s="112">
        <v>100.48</v>
      </c>
      <c r="J57" s="112">
        <v>115.7</v>
      </c>
      <c r="K57" s="112">
        <v>115.7</v>
      </c>
    </row>
    <row r="58" ht="15.5" spans="1:11">
      <c r="A58" s="111">
        <v>41</v>
      </c>
      <c r="B58" s="110">
        <f t="shared" si="1"/>
        <v>656</v>
      </c>
      <c r="C58" s="112">
        <v>34.34</v>
      </c>
      <c r="D58" s="112">
        <v>37.94</v>
      </c>
      <c r="E58" s="112">
        <v>43.34</v>
      </c>
      <c r="F58" s="112">
        <v>53.32</v>
      </c>
      <c r="G58" s="112">
        <v>71.33</v>
      </c>
      <c r="H58" s="112">
        <v>87.11</v>
      </c>
      <c r="I58" s="112">
        <v>102.59</v>
      </c>
      <c r="J58" s="112">
        <v>118.17</v>
      </c>
      <c r="K58" s="112">
        <v>118.17</v>
      </c>
    </row>
    <row r="59" ht="15.5" spans="1:11">
      <c r="A59" s="111">
        <v>42</v>
      </c>
      <c r="B59" s="110">
        <f t="shared" si="1"/>
        <v>672</v>
      </c>
      <c r="C59" s="112">
        <v>34.96</v>
      </c>
      <c r="D59" s="112">
        <v>38.59</v>
      </c>
      <c r="E59" s="112">
        <v>44.09</v>
      </c>
      <c r="F59" s="112">
        <v>54.25</v>
      </c>
      <c r="G59" s="112">
        <v>72.7</v>
      </c>
      <c r="H59" s="112">
        <v>88.83</v>
      </c>
      <c r="I59" s="112">
        <v>104.68</v>
      </c>
      <c r="J59" s="112">
        <v>120.63</v>
      </c>
      <c r="K59" s="112">
        <v>120.63</v>
      </c>
    </row>
    <row r="60" ht="15.5" spans="1:11">
      <c r="A60" s="111">
        <v>43</v>
      </c>
      <c r="B60" s="110">
        <f t="shared" si="1"/>
        <v>688</v>
      </c>
      <c r="C60" s="112">
        <v>35.56</v>
      </c>
      <c r="D60" s="112">
        <v>39.26</v>
      </c>
      <c r="E60" s="112">
        <v>44.85</v>
      </c>
      <c r="F60" s="112">
        <v>55.16</v>
      </c>
      <c r="G60" s="112">
        <v>74.06</v>
      </c>
      <c r="H60" s="112">
        <v>90.55</v>
      </c>
      <c r="I60" s="112">
        <v>106.73</v>
      </c>
      <c r="J60" s="112">
        <v>123.04</v>
      </c>
      <c r="K60" s="112">
        <v>123.04</v>
      </c>
    </row>
    <row r="61" ht="15.5" spans="1:11">
      <c r="A61" s="111">
        <v>44</v>
      </c>
      <c r="B61" s="110">
        <f t="shared" si="1"/>
        <v>704</v>
      </c>
      <c r="C61" s="112">
        <v>36.16</v>
      </c>
      <c r="D61" s="112">
        <v>39.9</v>
      </c>
      <c r="E61" s="112">
        <v>45.56</v>
      </c>
      <c r="F61" s="112">
        <v>56.06</v>
      </c>
      <c r="G61" s="112">
        <v>75.38</v>
      </c>
      <c r="H61" s="112">
        <v>92.22</v>
      </c>
      <c r="I61" s="112">
        <v>108.75</v>
      </c>
      <c r="J61" s="112">
        <v>125.42</v>
      </c>
      <c r="K61" s="112">
        <v>125.42</v>
      </c>
    </row>
    <row r="62" ht="15.5" spans="1:11">
      <c r="A62" s="111">
        <v>45</v>
      </c>
      <c r="B62" s="110">
        <f t="shared" si="1"/>
        <v>720</v>
      </c>
      <c r="C62" s="112">
        <v>36.74</v>
      </c>
      <c r="D62" s="112">
        <v>40.54</v>
      </c>
      <c r="E62" s="112">
        <v>46.29</v>
      </c>
      <c r="F62" s="112">
        <v>56.94</v>
      </c>
      <c r="G62" s="112">
        <v>76.71</v>
      </c>
      <c r="H62" s="112">
        <v>93.88</v>
      </c>
      <c r="I62" s="112">
        <v>110.75</v>
      </c>
      <c r="J62" s="112">
        <v>127.79</v>
      </c>
      <c r="K62" s="112">
        <v>127.79</v>
      </c>
    </row>
    <row r="63" ht="15.5" spans="1:11">
      <c r="A63" s="111">
        <v>46</v>
      </c>
      <c r="B63" s="110">
        <f t="shared" si="1"/>
        <v>736</v>
      </c>
      <c r="C63" s="112">
        <v>37.34</v>
      </c>
      <c r="D63" s="112">
        <v>41.16</v>
      </c>
      <c r="E63" s="112">
        <v>46.99</v>
      </c>
      <c r="F63" s="112">
        <v>57.8</v>
      </c>
      <c r="G63" s="112">
        <v>77.99</v>
      </c>
      <c r="H63" s="112">
        <v>95.53</v>
      </c>
      <c r="I63" s="112">
        <v>112.73</v>
      </c>
      <c r="J63" s="112">
        <v>130.11</v>
      </c>
      <c r="K63" s="112">
        <v>130.11</v>
      </c>
    </row>
    <row r="64" ht="15.5" spans="1:11">
      <c r="A64" s="111">
        <v>47</v>
      </c>
      <c r="B64" s="110">
        <f t="shared" si="1"/>
        <v>752</v>
      </c>
      <c r="C64" s="112">
        <v>37.91</v>
      </c>
      <c r="D64" s="112">
        <v>41.78</v>
      </c>
      <c r="E64" s="112">
        <v>47.68</v>
      </c>
      <c r="F64" s="112">
        <v>58.64</v>
      </c>
      <c r="G64" s="112">
        <v>79.26</v>
      </c>
      <c r="H64" s="112">
        <v>97.13</v>
      </c>
      <c r="I64" s="112">
        <v>114.65</v>
      </c>
      <c r="J64" s="112">
        <v>132.41</v>
      </c>
      <c r="K64" s="112">
        <v>132.41</v>
      </c>
    </row>
    <row r="65" ht="15.5" spans="1:11">
      <c r="A65" s="111">
        <v>48</v>
      </c>
      <c r="B65" s="110">
        <f t="shared" si="1"/>
        <v>768</v>
      </c>
      <c r="C65" s="112">
        <v>38.48</v>
      </c>
      <c r="D65" s="112">
        <v>42.39</v>
      </c>
      <c r="E65" s="112">
        <v>48.35</v>
      </c>
      <c r="F65" s="112">
        <v>59.46</v>
      </c>
      <c r="G65" s="112">
        <v>80.53</v>
      </c>
      <c r="H65" s="112">
        <v>98.71</v>
      </c>
      <c r="I65" s="112">
        <v>116.57</v>
      </c>
      <c r="J65" s="112">
        <v>134.68</v>
      </c>
      <c r="K65" s="112">
        <v>134.68</v>
      </c>
    </row>
    <row r="66" ht="15.5" spans="1:11">
      <c r="A66" s="111">
        <v>49</v>
      </c>
      <c r="B66" s="110">
        <f t="shared" si="1"/>
        <v>784</v>
      </c>
      <c r="C66" s="112">
        <v>39.05</v>
      </c>
      <c r="D66" s="112">
        <v>42.98</v>
      </c>
      <c r="E66" s="112">
        <v>49</v>
      </c>
      <c r="F66" s="112">
        <v>60.28</v>
      </c>
      <c r="G66" s="112">
        <v>81.76</v>
      </c>
      <c r="H66" s="112">
        <v>100.27</v>
      </c>
      <c r="I66" s="112">
        <v>118.46</v>
      </c>
      <c r="J66" s="112">
        <v>136.93</v>
      </c>
      <c r="K66" s="112">
        <v>136.93</v>
      </c>
    </row>
    <row r="67" ht="15.5" spans="1:11">
      <c r="A67" s="111">
        <v>50</v>
      </c>
      <c r="B67" s="110">
        <f t="shared" si="1"/>
        <v>800</v>
      </c>
      <c r="C67" s="112">
        <v>39.6</v>
      </c>
      <c r="D67" s="112">
        <v>43.58</v>
      </c>
      <c r="E67" s="112">
        <v>49.66</v>
      </c>
      <c r="F67" s="112">
        <v>61.07</v>
      </c>
      <c r="G67" s="112">
        <v>82.96</v>
      </c>
      <c r="H67" s="112">
        <v>101.8</v>
      </c>
      <c r="I67" s="112">
        <v>120.32</v>
      </c>
      <c r="J67" s="112">
        <v>139.14</v>
      </c>
      <c r="K67" s="112">
        <v>139.14</v>
      </c>
    </row>
    <row r="68" ht="15.5" spans="1:11">
      <c r="A68" s="111">
        <v>51</v>
      </c>
      <c r="B68" s="110">
        <f t="shared" si="1"/>
        <v>816</v>
      </c>
      <c r="C68" s="112">
        <v>40.14</v>
      </c>
      <c r="D68" s="112">
        <v>44.18</v>
      </c>
      <c r="E68" s="112">
        <v>50.27</v>
      </c>
      <c r="F68" s="112">
        <v>61.84</v>
      </c>
      <c r="G68" s="112">
        <v>84.15</v>
      </c>
      <c r="H68" s="112">
        <v>103.31</v>
      </c>
      <c r="I68" s="112">
        <v>122.15</v>
      </c>
      <c r="J68" s="112">
        <v>141.32</v>
      </c>
      <c r="K68" s="112">
        <v>141.32</v>
      </c>
    </row>
    <row r="69" ht="15.5" spans="1:11">
      <c r="A69" s="111">
        <v>52</v>
      </c>
      <c r="B69" s="110">
        <f t="shared" si="1"/>
        <v>832</v>
      </c>
      <c r="C69" s="112">
        <v>40.69</v>
      </c>
      <c r="D69" s="112">
        <v>44.73</v>
      </c>
      <c r="E69" s="112">
        <v>50.88</v>
      </c>
      <c r="F69" s="112">
        <v>62.6</v>
      </c>
      <c r="G69" s="112">
        <v>85.32</v>
      </c>
      <c r="H69" s="112">
        <v>104.8</v>
      </c>
      <c r="I69" s="112">
        <v>123.94</v>
      </c>
      <c r="J69" s="112">
        <v>143.47</v>
      </c>
      <c r="K69" s="112">
        <v>143.47</v>
      </c>
    </row>
    <row r="70" ht="15.5" spans="1:11">
      <c r="A70" s="111">
        <v>53</v>
      </c>
      <c r="B70" s="110">
        <f t="shared" si="1"/>
        <v>848</v>
      </c>
      <c r="C70" s="112">
        <v>41.23</v>
      </c>
      <c r="D70" s="112">
        <v>45.3</v>
      </c>
      <c r="E70" s="112">
        <v>51.49</v>
      </c>
      <c r="F70" s="112">
        <v>63.33</v>
      </c>
      <c r="G70" s="112">
        <v>86.46</v>
      </c>
      <c r="H70" s="112">
        <v>106.25</v>
      </c>
      <c r="I70" s="112">
        <v>125.73</v>
      </c>
      <c r="J70" s="112">
        <v>145.6</v>
      </c>
      <c r="K70" s="112">
        <v>145.6</v>
      </c>
    </row>
    <row r="71" ht="15.5" spans="1:11">
      <c r="A71" s="111">
        <v>54</v>
      </c>
      <c r="B71" s="110">
        <f t="shared" si="1"/>
        <v>864</v>
      </c>
      <c r="C71" s="112">
        <v>41.76</v>
      </c>
      <c r="D71" s="112">
        <v>45.84</v>
      </c>
      <c r="E71" s="112">
        <v>52.08</v>
      </c>
      <c r="F71" s="112">
        <v>64.06</v>
      </c>
      <c r="G71" s="112">
        <v>87.6</v>
      </c>
      <c r="H71" s="112">
        <v>107.69</v>
      </c>
      <c r="I71" s="112">
        <v>127.47</v>
      </c>
      <c r="J71" s="112">
        <v>147.68</v>
      </c>
      <c r="K71" s="112">
        <v>147.68</v>
      </c>
    </row>
    <row r="72" ht="15.5" spans="1:11">
      <c r="A72" s="111">
        <v>55</v>
      </c>
      <c r="B72" s="110">
        <f t="shared" si="1"/>
        <v>880</v>
      </c>
      <c r="C72" s="112">
        <v>42.29</v>
      </c>
      <c r="D72" s="112">
        <v>46.39</v>
      </c>
      <c r="E72" s="112">
        <v>52.64</v>
      </c>
      <c r="F72" s="112">
        <v>64.77</v>
      </c>
      <c r="G72" s="112">
        <v>88.7</v>
      </c>
      <c r="H72" s="112">
        <v>109.11</v>
      </c>
      <c r="I72" s="112">
        <v>129.19</v>
      </c>
      <c r="J72" s="112">
        <v>149.76</v>
      </c>
      <c r="K72" s="112">
        <v>149.76</v>
      </c>
    </row>
    <row r="73" ht="15.5" spans="1:11">
      <c r="A73" s="111">
        <v>56</v>
      </c>
      <c r="B73" s="110">
        <f t="shared" si="1"/>
        <v>896</v>
      </c>
      <c r="C73" s="112">
        <v>42.8</v>
      </c>
      <c r="D73" s="112">
        <v>46.92</v>
      </c>
      <c r="E73" s="112">
        <v>53.21</v>
      </c>
      <c r="F73" s="112">
        <v>65.46</v>
      </c>
      <c r="G73" s="112">
        <v>89.8</v>
      </c>
      <c r="H73" s="112">
        <v>110.48</v>
      </c>
      <c r="I73" s="112">
        <v>130.88</v>
      </c>
      <c r="J73" s="112">
        <v>151.79</v>
      </c>
      <c r="K73" s="112">
        <v>151.79</v>
      </c>
    </row>
    <row r="74" ht="15.5" spans="1:11">
      <c r="A74" s="111">
        <v>57</v>
      </c>
      <c r="B74" s="110">
        <f t="shared" si="1"/>
        <v>912</v>
      </c>
      <c r="C74" s="112">
        <v>43.32</v>
      </c>
      <c r="D74" s="112">
        <v>47.44</v>
      </c>
      <c r="E74" s="112">
        <v>53.75</v>
      </c>
      <c r="F74" s="112">
        <v>66.13</v>
      </c>
      <c r="G74" s="112">
        <v>90.84</v>
      </c>
      <c r="H74" s="112">
        <v>111.86</v>
      </c>
      <c r="I74" s="112">
        <v>132.55</v>
      </c>
      <c r="J74" s="112">
        <v>153.8</v>
      </c>
      <c r="K74" s="112">
        <v>153.8</v>
      </c>
    </row>
    <row r="75" ht="15.5" spans="1:11">
      <c r="A75" s="111">
        <v>58</v>
      </c>
      <c r="B75" s="110">
        <f t="shared" si="1"/>
        <v>928</v>
      </c>
      <c r="C75" s="112">
        <v>43.82</v>
      </c>
      <c r="D75" s="112">
        <v>47.94</v>
      </c>
      <c r="E75" s="112">
        <v>54.28</v>
      </c>
      <c r="F75" s="112">
        <v>66.77</v>
      </c>
      <c r="G75" s="112">
        <v>91.89</v>
      </c>
      <c r="H75" s="112">
        <v>113.18</v>
      </c>
      <c r="I75" s="112">
        <v>134.18</v>
      </c>
      <c r="J75" s="112">
        <v>155.77</v>
      </c>
      <c r="K75" s="112">
        <v>155.77</v>
      </c>
    </row>
    <row r="76" ht="15.5" spans="1:11">
      <c r="A76" s="111">
        <v>59</v>
      </c>
      <c r="B76" s="110">
        <f t="shared" si="1"/>
        <v>944</v>
      </c>
      <c r="C76" s="112">
        <v>44.33</v>
      </c>
      <c r="D76" s="112">
        <v>48.46</v>
      </c>
      <c r="E76" s="112">
        <v>54.8</v>
      </c>
      <c r="F76" s="112">
        <v>67.42</v>
      </c>
      <c r="G76" s="112">
        <v>92.92</v>
      </c>
      <c r="H76" s="112">
        <v>114.51</v>
      </c>
      <c r="I76" s="112">
        <v>135.78</v>
      </c>
      <c r="J76" s="112">
        <v>157.71</v>
      </c>
      <c r="K76" s="112">
        <v>157.71</v>
      </c>
    </row>
    <row r="77" ht="15.5" spans="1:11">
      <c r="A77" s="111">
        <v>60</v>
      </c>
      <c r="B77" s="110">
        <f t="shared" si="1"/>
        <v>960</v>
      </c>
      <c r="C77" s="112">
        <v>44.81</v>
      </c>
      <c r="D77" s="112">
        <v>48.95</v>
      </c>
      <c r="E77" s="112">
        <v>55.29</v>
      </c>
      <c r="F77" s="112">
        <v>68.02</v>
      </c>
      <c r="G77" s="112">
        <v>93.91</v>
      </c>
      <c r="H77" s="112">
        <v>115.78</v>
      </c>
      <c r="I77" s="112">
        <v>137.36</v>
      </c>
      <c r="J77" s="112">
        <v>159.62</v>
      </c>
      <c r="K77" s="112">
        <v>159.62</v>
      </c>
    </row>
    <row r="78" ht="15.5" spans="1:11">
      <c r="A78" s="111">
        <v>61</v>
      </c>
      <c r="B78" s="110">
        <f t="shared" si="1"/>
        <v>976</v>
      </c>
      <c r="C78" s="112">
        <v>45.3</v>
      </c>
      <c r="D78" s="112">
        <v>49.44</v>
      </c>
      <c r="E78" s="112">
        <v>55.78</v>
      </c>
      <c r="F78" s="112">
        <v>68.63</v>
      </c>
      <c r="G78" s="112">
        <v>94.89</v>
      </c>
      <c r="H78" s="112">
        <v>117.05</v>
      </c>
      <c r="I78" s="112">
        <v>138.91</v>
      </c>
      <c r="J78" s="112">
        <v>161.52</v>
      </c>
      <c r="K78" s="112">
        <v>161.52</v>
      </c>
    </row>
    <row r="79" ht="15.5" spans="1:11">
      <c r="A79" s="111">
        <v>62</v>
      </c>
      <c r="B79" s="110">
        <f t="shared" si="1"/>
        <v>992</v>
      </c>
      <c r="C79" s="112">
        <v>45.79</v>
      </c>
      <c r="D79" s="112">
        <v>49.9</v>
      </c>
      <c r="E79" s="112">
        <v>56.26</v>
      </c>
      <c r="F79" s="112">
        <v>69.2</v>
      </c>
      <c r="G79" s="112">
        <v>95.84</v>
      </c>
      <c r="H79" s="112">
        <v>118.3</v>
      </c>
      <c r="I79" s="112">
        <v>140.43</v>
      </c>
      <c r="J79" s="112">
        <v>163.37</v>
      </c>
      <c r="K79" s="112">
        <v>163.37</v>
      </c>
    </row>
    <row r="80" ht="15.5" spans="1:11">
      <c r="A80" s="111">
        <v>63</v>
      </c>
      <c r="B80" s="110">
        <f t="shared" si="1"/>
        <v>1008</v>
      </c>
      <c r="C80" s="112">
        <v>46.25</v>
      </c>
      <c r="D80" s="112">
        <v>50.38</v>
      </c>
      <c r="E80" s="112">
        <v>56.71</v>
      </c>
      <c r="F80" s="112">
        <v>69.76</v>
      </c>
      <c r="G80" s="112">
        <v>96.79</v>
      </c>
      <c r="H80" s="112">
        <v>119.51</v>
      </c>
      <c r="I80" s="112">
        <v>141.93</v>
      </c>
      <c r="J80" s="112">
        <v>165.2</v>
      </c>
      <c r="K80" s="112">
        <v>165.2</v>
      </c>
    </row>
    <row r="81" ht="15.5" spans="1:11">
      <c r="A81" s="111">
        <v>64</v>
      </c>
      <c r="B81" s="110">
        <f t="shared" si="1"/>
        <v>1024</v>
      </c>
      <c r="C81" s="112">
        <v>46.72</v>
      </c>
      <c r="D81" s="112">
        <v>50.83</v>
      </c>
      <c r="E81" s="112">
        <v>57.16</v>
      </c>
      <c r="F81" s="112">
        <v>70.31</v>
      </c>
      <c r="G81" s="112">
        <v>97.71</v>
      </c>
      <c r="H81" s="112">
        <v>120.69</v>
      </c>
      <c r="I81" s="112">
        <v>143.4</v>
      </c>
      <c r="J81" s="112">
        <v>167</v>
      </c>
      <c r="K81" s="112">
        <v>167</v>
      </c>
    </row>
    <row r="82" ht="15.5" spans="1:11">
      <c r="A82" s="111">
        <v>65</v>
      </c>
      <c r="B82" s="110">
        <f t="shared" ref="B82:B87" si="2">A82*16</f>
        <v>1040</v>
      </c>
      <c r="C82" s="112">
        <v>47.17</v>
      </c>
      <c r="D82" s="112">
        <v>51.28</v>
      </c>
      <c r="E82" s="112">
        <v>57.58</v>
      </c>
      <c r="F82" s="112">
        <v>70.84</v>
      </c>
      <c r="G82" s="112">
        <v>98.6</v>
      </c>
      <c r="H82" s="112">
        <v>121.85</v>
      </c>
      <c r="I82" s="112">
        <v>144.83</v>
      </c>
      <c r="J82" s="112">
        <v>168.75</v>
      </c>
      <c r="K82" s="112">
        <v>168.75</v>
      </c>
    </row>
    <row r="83" ht="15.5" spans="1:11">
      <c r="A83" s="111">
        <v>66</v>
      </c>
      <c r="B83" s="110">
        <f t="shared" si="2"/>
        <v>1056</v>
      </c>
      <c r="C83" s="112">
        <v>47.63</v>
      </c>
      <c r="D83" s="112">
        <v>51.71</v>
      </c>
      <c r="E83" s="112">
        <v>57.99</v>
      </c>
      <c r="F83" s="112">
        <v>71.35</v>
      </c>
      <c r="G83" s="112">
        <v>99.47</v>
      </c>
      <c r="H83" s="112">
        <v>122.99</v>
      </c>
      <c r="I83" s="112">
        <v>146.23</v>
      </c>
      <c r="J83" s="112">
        <v>170.49</v>
      </c>
      <c r="K83" s="112">
        <v>170.49</v>
      </c>
    </row>
    <row r="84" ht="15.5" spans="1:11">
      <c r="A84" s="111">
        <v>67</v>
      </c>
      <c r="B84" s="110">
        <f t="shared" si="2"/>
        <v>1072</v>
      </c>
      <c r="C84" s="112">
        <v>48.08</v>
      </c>
      <c r="D84" s="112">
        <v>52.13</v>
      </c>
      <c r="E84" s="112">
        <v>58.39</v>
      </c>
      <c r="F84" s="112">
        <v>71.85</v>
      </c>
      <c r="G84" s="112">
        <v>100.32</v>
      </c>
      <c r="H84" s="112">
        <v>124.11</v>
      </c>
      <c r="I84" s="112">
        <v>147.63</v>
      </c>
      <c r="J84" s="112">
        <v>172.2</v>
      </c>
      <c r="K84" s="112">
        <v>172.2</v>
      </c>
    </row>
    <row r="85" ht="15.5" spans="1:11">
      <c r="A85" s="111">
        <v>68</v>
      </c>
      <c r="B85" s="110">
        <f t="shared" si="2"/>
        <v>1088</v>
      </c>
      <c r="C85" s="112">
        <v>48.53</v>
      </c>
      <c r="D85" s="112">
        <v>52.56</v>
      </c>
      <c r="E85" s="112">
        <v>58.79</v>
      </c>
      <c r="F85" s="112">
        <v>72.32</v>
      </c>
      <c r="G85" s="112">
        <v>101.16</v>
      </c>
      <c r="H85" s="112">
        <v>125.2</v>
      </c>
      <c r="I85" s="112">
        <v>148.98</v>
      </c>
      <c r="J85" s="112">
        <v>173.88</v>
      </c>
      <c r="K85" s="112">
        <v>173.88</v>
      </c>
    </row>
    <row r="86" ht="15.5" spans="1:11">
      <c r="A86" s="111">
        <v>69</v>
      </c>
      <c r="B86" s="110">
        <f t="shared" si="2"/>
        <v>1104</v>
      </c>
      <c r="C86" s="112">
        <v>48.96</v>
      </c>
      <c r="D86" s="112">
        <v>52.96</v>
      </c>
      <c r="E86" s="112">
        <v>59.14</v>
      </c>
      <c r="F86" s="112">
        <v>72.79</v>
      </c>
      <c r="G86" s="112">
        <v>101.97</v>
      </c>
      <c r="H86" s="112">
        <v>126.24</v>
      </c>
      <c r="I86" s="112">
        <v>150.31</v>
      </c>
      <c r="J86" s="112">
        <v>175.53</v>
      </c>
      <c r="K86" s="112">
        <v>175.53</v>
      </c>
    </row>
    <row r="87" ht="15.5" spans="1:11">
      <c r="A87" s="111">
        <v>70</v>
      </c>
      <c r="B87" s="110">
        <f t="shared" si="2"/>
        <v>1120</v>
      </c>
      <c r="C87" s="112">
        <v>49.38</v>
      </c>
      <c r="D87" s="112">
        <v>53.36</v>
      </c>
      <c r="E87" s="112">
        <v>59.5</v>
      </c>
      <c r="F87" s="112">
        <v>73.22</v>
      </c>
      <c r="G87" s="112">
        <v>102.75</v>
      </c>
      <c r="H87" s="112">
        <v>127.28</v>
      </c>
      <c r="I87" s="112">
        <v>151.6</v>
      </c>
      <c r="J87" s="112">
        <v>177.14</v>
      </c>
      <c r="K87" s="112">
        <v>177.14</v>
      </c>
    </row>
  </sheetData>
  <mergeCells count="41">
    <mergeCell ref="A1:B1"/>
    <mergeCell ref="C1:K1"/>
    <mergeCell ref="N1:R1"/>
    <mergeCell ref="S1:V1"/>
    <mergeCell ref="W1:X1"/>
    <mergeCell ref="N2:R2"/>
    <mergeCell ref="S2:V2"/>
    <mergeCell ref="W2:X2"/>
    <mergeCell ref="S3:V3"/>
    <mergeCell ref="S4:V4"/>
    <mergeCell ref="S5:V5"/>
    <mergeCell ref="S6:V6"/>
    <mergeCell ref="W6:X6"/>
    <mergeCell ref="S7:V7"/>
    <mergeCell ref="W7:X7"/>
    <mergeCell ref="S8:V8"/>
    <mergeCell ref="W8:X8"/>
    <mergeCell ref="N9:R9"/>
    <mergeCell ref="S9:V9"/>
    <mergeCell ref="W9:X9"/>
    <mergeCell ref="S10:V10"/>
    <mergeCell ref="W10:X10"/>
    <mergeCell ref="S11:V11"/>
    <mergeCell ref="W11:X11"/>
    <mergeCell ref="U12:V12"/>
    <mergeCell ref="U13:V13"/>
    <mergeCell ref="U14:V14"/>
    <mergeCell ref="U15:V15"/>
    <mergeCell ref="U16:V16"/>
    <mergeCell ref="N17:R17"/>
    <mergeCell ref="S17:V17"/>
    <mergeCell ref="W17:X17"/>
    <mergeCell ref="N18:R18"/>
    <mergeCell ref="S18:V18"/>
    <mergeCell ref="W18:X18"/>
    <mergeCell ref="N3:R5"/>
    <mergeCell ref="W3:X5"/>
    <mergeCell ref="N6:R8"/>
    <mergeCell ref="N10:R11"/>
    <mergeCell ref="N12:R16"/>
    <mergeCell ref="S12:T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pane xSplit="1" ySplit="1" topLeftCell="B23" activePane="bottomRight" state="frozen"/>
      <selection/>
      <selection pane="topRight"/>
      <selection pane="bottomLeft"/>
      <selection pane="bottomRight" activeCell="A20" sqref="A20:G27"/>
    </sheetView>
  </sheetViews>
  <sheetFormatPr defaultColWidth="8.89090909090909" defaultRowHeight="14" outlineLevelCol="6"/>
  <cols>
    <col min="1" max="1" width="38.6636363636364" customWidth="1"/>
    <col min="2" max="2" width="47.5545454545455" customWidth="1"/>
    <col min="7" max="7" width="33.2181818181818" customWidth="1"/>
  </cols>
  <sheetData>
    <row r="1" ht="26" spans="1:7">
      <c r="A1" s="7" t="s">
        <v>145</v>
      </c>
      <c r="B1" s="7" t="s">
        <v>146</v>
      </c>
      <c r="C1" s="7" t="s">
        <v>25</v>
      </c>
      <c r="D1" s="7" t="s">
        <v>22</v>
      </c>
      <c r="E1" s="7" t="s">
        <v>19</v>
      </c>
      <c r="F1" s="7" t="s">
        <v>147</v>
      </c>
    </row>
    <row r="2" spans="1:7">
      <c r="A2" s="3" t="s">
        <v>148</v>
      </c>
      <c r="B2" s="3" t="s">
        <v>149</v>
      </c>
      <c r="C2" s="4">
        <v>3.2</v>
      </c>
      <c r="D2" s="4">
        <v>3.2</v>
      </c>
      <c r="E2" s="4">
        <v>3.2</v>
      </c>
      <c r="F2" s="4">
        <v>3.2</v>
      </c>
    </row>
    <row r="3" spans="1:7">
      <c r="A3" s="3" t="s">
        <v>150</v>
      </c>
      <c r="B3" s="3" t="s">
        <v>151</v>
      </c>
      <c r="C3" s="4">
        <v>3.52</v>
      </c>
      <c r="D3" s="4">
        <v>3.52</v>
      </c>
      <c r="E3" s="4">
        <v>3.35</v>
      </c>
      <c r="F3" s="4">
        <v>2.63</v>
      </c>
    </row>
    <row r="4" spans="1:7">
      <c r="A4" s="3" t="s">
        <v>152</v>
      </c>
      <c r="B4" s="3" t="s">
        <v>153</v>
      </c>
      <c r="C4" s="4">
        <v>4.38</v>
      </c>
      <c r="D4" s="4">
        <v>4.38</v>
      </c>
      <c r="E4" s="4">
        <v>3.99</v>
      </c>
      <c r="F4" s="4">
        <v>3.21</v>
      </c>
    </row>
    <row r="5" spans="1:7">
      <c r="A5" s="3" t="s">
        <v>154</v>
      </c>
      <c r="B5" s="3" t="s">
        <v>155</v>
      </c>
      <c r="C5" s="4">
        <v>11.66</v>
      </c>
      <c r="D5" s="4">
        <v>11.66</v>
      </c>
      <c r="E5" s="4">
        <v>9.66</v>
      </c>
      <c r="F5" s="4">
        <v>8.66</v>
      </c>
    </row>
    <row r="6" spans="1:7">
      <c r="A6" s="3" t="s">
        <v>156</v>
      </c>
      <c r="B6" s="3" t="s">
        <v>157</v>
      </c>
      <c r="C6" s="4">
        <v>4.62</v>
      </c>
      <c r="D6" s="4">
        <v>4.62</v>
      </c>
      <c r="E6" s="4">
        <v>4.29</v>
      </c>
      <c r="F6" s="4">
        <v>3.19</v>
      </c>
    </row>
    <row r="7" spans="1:7">
      <c r="A7" s="3" t="s">
        <v>158</v>
      </c>
      <c r="B7" s="3" t="s">
        <v>159</v>
      </c>
      <c r="C7" s="4">
        <v>6.16</v>
      </c>
      <c r="D7" s="4">
        <v>6.16</v>
      </c>
      <c r="E7" s="4">
        <v>5.72</v>
      </c>
      <c r="F7" s="4">
        <v>4.67</v>
      </c>
    </row>
    <row r="8" spans="1:7">
      <c r="A8" s="3" t="s">
        <v>160</v>
      </c>
      <c r="B8" s="3" t="s">
        <v>161</v>
      </c>
      <c r="C8" s="148">
        <v>10</v>
      </c>
      <c r="D8" s="148">
        <v>8</v>
      </c>
      <c r="E8" s="148">
        <v>7</v>
      </c>
      <c r="F8" s="148">
        <v>7</v>
      </c>
    </row>
    <row r="9" spans="1:7">
      <c r="A9" s="3"/>
      <c r="B9" s="3" t="s">
        <v>162</v>
      </c>
      <c r="C9" s="148">
        <v>11</v>
      </c>
      <c r="D9" s="148">
        <v>9</v>
      </c>
      <c r="E9" s="148">
        <v>8</v>
      </c>
      <c r="F9" s="148">
        <v>8</v>
      </c>
    </row>
    <row r="10" spans="1:7">
      <c r="A10" s="3"/>
      <c r="B10" s="3" t="s">
        <v>163</v>
      </c>
      <c r="C10" s="148">
        <v>12</v>
      </c>
      <c r="D10" s="148">
        <v>10</v>
      </c>
      <c r="E10" s="148">
        <v>9</v>
      </c>
      <c r="F10" s="148">
        <v>8.5</v>
      </c>
    </row>
    <row r="11" spans="1:7">
      <c r="A11" s="3"/>
      <c r="B11" s="3" t="s">
        <v>164</v>
      </c>
      <c r="C11" s="148">
        <v>12</v>
      </c>
      <c r="D11" s="148">
        <v>10</v>
      </c>
      <c r="E11" s="148">
        <v>9</v>
      </c>
      <c r="F11" s="148">
        <v>9</v>
      </c>
    </row>
    <row r="12" spans="1:7">
      <c r="A12" s="3" t="s">
        <v>165</v>
      </c>
      <c r="B12" s="3" t="s">
        <v>166</v>
      </c>
      <c r="C12" s="148">
        <v>10</v>
      </c>
      <c r="D12" s="148">
        <v>8</v>
      </c>
      <c r="E12" s="148">
        <v>7</v>
      </c>
      <c r="F12" s="149">
        <v>5.5</v>
      </c>
      <c r="G12" s="150" t="s">
        <v>167</v>
      </c>
    </row>
    <row r="13" spans="1:7">
      <c r="A13" s="3"/>
      <c r="B13" s="3" t="s">
        <v>168</v>
      </c>
      <c r="C13" s="148">
        <v>11</v>
      </c>
      <c r="D13" s="148">
        <v>9</v>
      </c>
      <c r="E13" s="148">
        <v>8</v>
      </c>
      <c r="F13" s="149">
        <v>6</v>
      </c>
      <c r="G13" s="150"/>
    </row>
    <row r="14" spans="1:7">
      <c r="A14" s="3"/>
      <c r="B14" s="3" t="s">
        <v>169</v>
      </c>
      <c r="C14" s="148">
        <v>12</v>
      </c>
      <c r="D14" s="148">
        <v>10</v>
      </c>
      <c r="E14" s="148">
        <v>9</v>
      </c>
      <c r="F14" s="149">
        <v>6.5</v>
      </c>
      <c r="G14" s="150"/>
    </row>
    <row r="15" spans="1:7">
      <c r="A15" s="3"/>
      <c r="B15" s="3" t="s">
        <v>170</v>
      </c>
      <c r="C15" s="148">
        <v>12</v>
      </c>
      <c r="D15" s="148">
        <v>10</v>
      </c>
      <c r="E15" s="148">
        <v>9</v>
      </c>
      <c r="F15" s="149">
        <v>7</v>
      </c>
      <c r="G15" s="150"/>
    </row>
    <row r="16" spans="1:7">
      <c r="A16" s="3" t="s">
        <v>171</v>
      </c>
      <c r="B16" s="3" t="s">
        <v>172</v>
      </c>
      <c r="C16" s="4">
        <v>13.5</v>
      </c>
      <c r="D16" s="4">
        <v>12.5</v>
      </c>
      <c r="E16" s="4">
        <v>11.5</v>
      </c>
      <c r="F16" s="5">
        <v>11.5</v>
      </c>
    </row>
    <row r="17" spans="1:7">
      <c r="A17" s="3"/>
      <c r="B17" s="3" t="s">
        <v>173</v>
      </c>
      <c r="C17" s="4">
        <v>14.5</v>
      </c>
      <c r="D17" s="4">
        <v>13.5</v>
      </c>
      <c r="E17" s="4">
        <v>12.5</v>
      </c>
      <c r="F17" s="5">
        <v>12.5</v>
      </c>
    </row>
    <row r="18" spans="1:7">
      <c r="A18" s="3"/>
      <c r="B18" s="3" t="s">
        <v>174</v>
      </c>
      <c r="C18" s="4">
        <v>15.5</v>
      </c>
      <c r="D18" s="4">
        <v>14.5</v>
      </c>
      <c r="E18" s="4">
        <v>13.5</v>
      </c>
      <c r="F18" s="5">
        <v>13.5</v>
      </c>
    </row>
    <row r="19" spans="1:7">
      <c r="A19" s="3"/>
      <c r="B19" s="3" t="s">
        <v>175</v>
      </c>
      <c r="C19" s="4">
        <v>15.5</v>
      </c>
      <c r="D19" s="4">
        <v>14.5</v>
      </c>
      <c r="E19" s="4">
        <v>13.5</v>
      </c>
      <c r="F19" s="5">
        <v>13.5</v>
      </c>
    </row>
    <row r="20" spans="1:7">
      <c r="A20" s="3" t="s">
        <v>176</v>
      </c>
      <c r="B20" s="3" t="s">
        <v>177</v>
      </c>
      <c r="C20" s="4">
        <v>53.5</v>
      </c>
      <c r="D20" s="4">
        <v>45.5</v>
      </c>
      <c r="E20" s="4">
        <v>43.5</v>
      </c>
      <c r="F20" s="5">
        <v>40.5</v>
      </c>
      <c r="G20" s="150" t="s">
        <v>178</v>
      </c>
    </row>
    <row r="21" spans="1:7">
      <c r="A21" s="3"/>
      <c r="B21" s="3" t="s">
        <v>179</v>
      </c>
      <c r="C21" s="4">
        <v>56.5</v>
      </c>
      <c r="D21" s="4">
        <v>48.5</v>
      </c>
      <c r="E21" s="4">
        <v>46.5</v>
      </c>
      <c r="F21" s="5">
        <v>43.5</v>
      </c>
      <c r="G21" s="150"/>
    </row>
    <row r="22" spans="1:7">
      <c r="A22" s="3"/>
      <c r="B22" s="3" t="s">
        <v>180</v>
      </c>
      <c r="C22" s="4">
        <v>61.5</v>
      </c>
      <c r="D22" s="4">
        <v>53.5</v>
      </c>
      <c r="E22" s="4">
        <v>51.5</v>
      </c>
      <c r="F22" s="5">
        <v>48.5</v>
      </c>
      <c r="G22" s="150"/>
    </row>
    <row r="23" spans="1:7">
      <c r="A23" s="3"/>
      <c r="B23" s="3" t="s">
        <v>181</v>
      </c>
      <c r="C23" s="4">
        <v>63.5</v>
      </c>
      <c r="D23" s="4">
        <v>55.5</v>
      </c>
      <c r="E23" s="4">
        <v>53.5</v>
      </c>
      <c r="F23" s="5">
        <v>50.5</v>
      </c>
      <c r="G23" s="150"/>
    </row>
    <row r="24" spans="1:7">
      <c r="A24" s="3" t="s">
        <v>182</v>
      </c>
      <c r="B24" s="3" t="s">
        <v>183</v>
      </c>
      <c r="C24" s="4">
        <v>53.5</v>
      </c>
      <c r="D24" s="4">
        <v>45.5</v>
      </c>
      <c r="E24" s="4">
        <v>43.5</v>
      </c>
      <c r="F24" s="4">
        <v>40.5</v>
      </c>
      <c r="G24" s="150" t="s">
        <v>184</v>
      </c>
    </row>
    <row r="25" spans="1:7">
      <c r="A25" s="3"/>
      <c r="B25" s="3" t="s">
        <v>185</v>
      </c>
      <c r="C25" s="4">
        <v>56.5</v>
      </c>
      <c r="D25" s="4">
        <v>48.5</v>
      </c>
      <c r="E25" s="4">
        <v>46.5</v>
      </c>
      <c r="F25" s="4">
        <v>43.5</v>
      </c>
      <c r="G25" s="150"/>
    </row>
    <row r="26" spans="1:7">
      <c r="A26" s="3"/>
      <c r="B26" s="3" t="s">
        <v>186</v>
      </c>
      <c r="C26" s="4">
        <v>61.5</v>
      </c>
      <c r="D26" s="4">
        <v>53.5</v>
      </c>
      <c r="E26" s="4">
        <v>51.5</v>
      </c>
      <c r="F26" s="4">
        <v>48.5</v>
      </c>
      <c r="G26" s="150"/>
    </row>
    <row r="27" spans="1:7">
      <c r="A27" s="3"/>
      <c r="B27" s="3" t="s">
        <v>187</v>
      </c>
      <c r="C27" s="4">
        <v>63.5</v>
      </c>
      <c r="D27" s="4">
        <v>55.5</v>
      </c>
      <c r="E27" s="4">
        <v>53.5</v>
      </c>
      <c r="F27" s="4">
        <v>50.5</v>
      </c>
      <c r="G27" s="150"/>
    </row>
    <row r="28" spans="1:7">
      <c r="A28" s="3" t="s">
        <v>188</v>
      </c>
      <c r="B28" s="3" t="s">
        <v>189</v>
      </c>
      <c r="C28" s="4">
        <v>1875</v>
      </c>
      <c r="D28" s="4">
        <v>1875</v>
      </c>
      <c r="E28" s="4">
        <v>1875</v>
      </c>
      <c r="F28" s="4">
        <v>1875</v>
      </c>
    </row>
    <row r="29" spans="1:7">
      <c r="A29" s="151" t="s">
        <v>190</v>
      </c>
      <c r="B29" s="3" t="s">
        <v>191</v>
      </c>
      <c r="C29" s="4">
        <v>25.5</v>
      </c>
      <c r="D29" s="4">
        <v>25.5</v>
      </c>
      <c r="E29" s="4">
        <v>25.5</v>
      </c>
      <c r="F29" s="4">
        <v>25.5</v>
      </c>
    </row>
    <row r="30" spans="1:7">
      <c r="A30" s="3" t="s">
        <v>192</v>
      </c>
      <c r="B30" s="3" t="s">
        <v>193</v>
      </c>
      <c r="C30" s="4">
        <v>7.6</v>
      </c>
      <c r="D30" s="4">
        <v>7.6</v>
      </c>
      <c r="E30" s="4">
        <v>7.6</v>
      </c>
      <c r="F30" s="4">
        <v>7.6</v>
      </c>
    </row>
    <row r="31" spans="1:7">
      <c r="A31" s="3"/>
      <c r="B31" s="3" t="s">
        <v>194</v>
      </c>
      <c r="C31" s="4">
        <v>10</v>
      </c>
      <c r="D31" s="4">
        <v>10</v>
      </c>
      <c r="E31" s="4">
        <v>10</v>
      </c>
      <c r="F31" s="4">
        <v>10</v>
      </c>
    </row>
    <row r="32" ht="39" spans="1:7">
      <c r="A32" s="152" t="s">
        <v>195</v>
      </c>
      <c r="B32" s="153" t="s">
        <v>196</v>
      </c>
      <c r="C32" s="148">
        <v>4.15</v>
      </c>
      <c r="D32" s="148">
        <v>4.15</v>
      </c>
      <c r="E32" s="148">
        <v>4.15</v>
      </c>
      <c r="F32" s="148">
        <v>4.15</v>
      </c>
    </row>
    <row r="33" ht="26" spans="1:6">
      <c r="A33" s="152" t="s">
        <v>197</v>
      </c>
      <c r="B33" s="153" t="s">
        <v>198</v>
      </c>
      <c r="C33" s="148">
        <v>52</v>
      </c>
      <c r="D33" s="148">
        <v>52</v>
      </c>
      <c r="E33" s="148">
        <v>52</v>
      </c>
      <c r="F33" s="148">
        <v>52</v>
      </c>
    </row>
    <row r="34" ht="39" spans="1:6">
      <c r="A34" s="152" t="s">
        <v>199</v>
      </c>
      <c r="B34" s="153" t="s">
        <v>200</v>
      </c>
      <c r="C34" s="148">
        <v>490</v>
      </c>
      <c r="D34" s="148">
        <v>490</v>
      </c>
      <c r="E34" s="148">
        <v>490</v>
      </c>
      <c r="F34" s="148">
        <v>490</v>
      </c>
    </row>
    <row r="35" ht="39" spans="1:6">
      <c r="A35" s="154" t="s">
        <v>201</v>
      </c>
      <c r="B35" s="153" t="s">
        <v>202</v>
      </c>
      <c r="C35" s="148">
        <v>1.89</v>
      </c>
      <c r="D35" s="148">
        <v>1.89</v>
      </c>
      <c r="E35" s="148">
        <v>1.89</v>
      </c>
      <c r="F35" s="148">
        <v>1.89</v>
      </c>
    </row>
  </sheetData>
  <mergeCells count="9">
    <mergeCell ref="A8:A11"/>
    <mergeCell ref="A12:A15"/>
    <mergeCell ref="A16:A19"/>
    <mergeCell ref="A20:A23"/>
    <mergeCell ref="A24:A27"/>
    <mergeCell ref="A30:A31"/>
    <mergeCell ref="G12:G15"/>
    <mergeCell ref="G20:G23"/>
    <mergeCell ref="G24:G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4"/>
  <sheetViews>
    <sheetView topLeftCell="C1" workbookViewId="0">
      <selection activeCell="L20" sqref="L20:L21"/>
    </sheetView>
  </sheetViews>
  <sheetFormatPr defaultColWidth="8.89090909090909" defaultRowHeight="14"/>
  <cols>
    <col min="10" max="10" width="12" customWidth="1"/>
  </cols>
  <sheetData>
    <row r="1" ht="18.5" spans="1:21">
      <c r="A1" s="103" t="s">
        <v>105</v>
      </c>
      <c r="B1" s="104"/>
      <c r="C1" s="106" t="s">
        <v>106</v>
      </c>
      <c r="D1" s="106"/>
      <c r="E1" s="106"/>
      <c r="F1" s="106"/>
      <c r="G1" s="106"/>
      <c r="H1" s="106"/>
      <c r="I1" s="106"/>
      <c r="J1" s="11" t="s">
        <v>107</v>
      </c>
      <c r="L1" s="12" t="s">
        <v>108</v>
      </c>
      <c r="M1" s="13"/>
      <c r="N1" s="15" t="s">
        <v>109</v>
      </c>
      <c r="O1" s="113"/>
      <c r="P1" s="113"/>
      <c r="Q1" s="13"/>
      <c r="R1" s="13"/>
      <c r="S1" s="114" t="s">
        <v>110</v>
      </c>
      <c r="T1" s="115"/>
      <c r="U1" s="11" t="s">
        <v>107</v>
      </c>
    </row>
    <row r="2" ht="18.5" spans="1:21">
      <c r="A2" s="108" t="s">
        <v>112</v>
      </c>
      <c r="B2" s="108" t="s">
        <v>113</v>
      </c>
      <c r="C2" s="108">
        <v>2</v>
      </c>
      <c r="D2" s="108">
        <v>3</v>
      </c>
      <c r="E2" s="108">
        <v>4</v>
      </c>
      <c r="F2" s="108">
        <v>5</v>
      </c>
      <c r="G2" s="108">
        <v>6</v>
      </c>
      <c r="H2" s="108">
        <v>7</v>
      </c>
      <c r="I2" s="108">
        <v>8</v>
      </c>
      <c r="J2" s="11" t="s">
        <v>19</v>
      </c>
      <c r="L2" s="20" t="s">
        <v>114</v>
      </c>
      <c r="M2" s="21"/>
      <c r="N2" s="116" t="s">
        <v>203</v>
      </c>
      <c r="O2" s="117"/>
      <c r="P2" s="117"/>
      <c r="Q2" s="117"/>
      <c r="R2" s="117"/>
      <c r="S2" s="72" t="s">
        <v>116</v>
      </c>
      <c r="T2" s="118"/>
      <c r="U2" s="11" t="s">
        <v>19</v>
      </c>
    </row>
    <row r="3" ht="15.5" spans="1:21">
      <c r="A3" s="111">
        <v>1</v>
      </c>
      <c r="B3" s="111">
        <f t="shared" ref="B3:B66" si="0">A3*16</f>
        <v>16</v>
      </c>
      <c r="C3" s="112">
        <v>7.95</v>
      </c>
      <c r="D3" s="112">
        <v>7.95</v>
      </c>
      <c r="E3" s="112">
        <v>7.95</v>
      </c>
      <c r="F3" s="112">
        <v>7.95</v>
      </c>
      <c r="G3" s="112">
        <v>7.95</v>
      </c>
      <c r="H3" s="112">
        <v>7.95</v>
      </c>
      <c r="I3" s="112">
        <v>7.95</v>
      </c>
      <c r="J3" s="11" t="s">
        <v>22</v>
      </c>
      <c r="L3" s="27" t="s">
        <v>117</v>
      </c>
      <c r="M3" s="28"/>
      <c r="N3" s="119" t="s">
        <v>204</v>
      </c>
      <c r="O3" s="120"/>
      <c r="P3" s="120"/>
      <c r="Q3" s="120"/>
      <c r="R3" s="120"/>
      <c r="S3" s="66" t="s">
        <v>116</v>
      </c>
      <c r="T3" s="121"/>
      <c r="U3" s="11" t="s">
        <v>22</v>
      </c>
    </row>
    <row r="4" ht="15.5" spans="1:21">
      <c r="A4" s="111">
        <v>2</v>
      </c>
      <c r="B4" s="111">
        <f t="shared" si="0"/>
        <v>32</v>
      </c>
      <c r="C4" s="112">
        <v>7.95</v>
      </c>
      <c r="D4" s="112">
        <v>7.95</v>
      </c>
      <c r="E4" s="112">
        <v>7.95</v>
      </c>
      <c r="F4" s="112">
        <v>7.95</v>
      </c>
      <c r="G4" s="112">
        <v>7.95</v>
      </c>
      <c r="H4" s="112">
        <v>7.95</v>
      </c>
      <c r="I4" s="112">
        <v>7.95</v>
      </c>
      <c r="J4" s="11" t="s">
        <v>25</v>
      </c>
      <c r="L4" s="33"/>
      <c r="M4" s="34"/>
      <c r="N4" s="119" t="s">
        <v>205</v>
      </c>
      <c r="O4" s="120"/>
      <c r="P4" s="120"/>
      <c r="Q4" s="120"/>
      <c r="R4" s="120"/>
      <c r="S4" s="66"/>
      <c r="T4" s="121"/>
      <c r="U4" s="11" t="s">
        <v>25</v>
      </c>
    </row>
    <row r="5" ht="15.5" spans="1:21">
      <c r="A5" s="111">
        <v>3</v>
      </c>
      <c r="B5" s="111">
        <f t="shared" si="0"/>
        <v>48</v>
      </c>
      <c r="C5" s="112">
        <v>7.95</v>
      </c>
      <c r="D5" s="112">
        <v>7.95</v>
      </c>
      <c r="E5" s="112">
        <v>7.95</v>
      </c>
      <c r="F5" s="112">
        <v>7.95</v>
      </c>
      <c r="G5" s="112">
        <v>7.95</v>
      </c>
      <c r="H5" s="112">
        <v>8.04</v>
      </c>
      <c r="I5" s="112">
        <v>8.41</v>
      </c>
      <c r="J5" s="11" t="s">
        <v>27</v>
      </c>
      <c r="L5" s="33"/>
      <c r="M5" s="34"/>
      <c r="N5" s="119" t="s">
        <v>120</v>
      </c>
      <c r="O5" s="120"/>
      <c r="P5" s="120"/>
      <c r="Q5" s="120"/>
      <c r="R5" s="120"/>
      <c r="S5" s="66"/>
      <c r="T5" s="121"/>
      <c r="U5" s="11" t="s">
        <v>27</v>
      </c>
    </row>
    <row r="6" ht="15.5" spans="1:21">
      <c r="A6" s="111">
        <v>4</v>
      </c>
      <c r="B6" s="111">
        <f t="shared" si="0"/>
        <v>64</v>
      </c>
      <c r="C6" s="112">
        <v>7.95</v>
      </c>
      <c r="D6" s="112">
        <v>7.95</v>
      </c>
      <c r="E6" s="112">
        <v>7.95</v>
      </c>
      <c r="F6" s="112">
        <v>7.95</v>
      </c>
      <c r="G6" s="112">
        <v>8.06</v>
      </c>
      <c r="H6" s="112">
        <v>8.59</v>
      </c>
      <c r="I6" s="112">
        <v>8.98</v>
      </c>
      <c r="L6" s="33"/>
      <c r="M6" s="34"/>
      <c r="N6" s="66" t="s">
        <v>206</v>
      </c>
      <c r="O6" s="67"/>
      <c r="P6" s="67"/>
      <c r="Q6" s="67"/>
      <c r="R6" s="67"/>
      <c r="S6" s="72"/>
      <c r="T6" s="118"/>
    </row>
    <row r="7" ht="15.5" spans="1:21">
      <c r="A7" s="111">
        <v>5</v>
      </c>
      <c r="B7" s="111">
        <f t="shared" si="0"/>
        <v>80</v>
      </c>
      <c r="C7" s="112">
        <v>7.95</v>
      </c>
      <c r="D7" s="112">
        <v>7.95</v>
      </c>
      <c r="E7" s="112">
        <v>7.95</v>
      </c>
      <c r="F7" s="112">
        <v>8.18</v>
      </c>
      <c r="G7" s="112">
        <v>8.49</v>
      </c>
      <c r="H7" s="112">
        <v>8.96</v>
      </c>
      <c r="I7" s="112">
        <v>9.49</v>
      </c>
      <c r="L7" s="27" t="s">
        <v>207</v>
      </c>
      <c r="M7" s="28"/>
      <c r="N7" s="29" t="s">
        <v>208</v>
      </c>
      <c r="O7" s="29"/>
      <c r="P7" s="29"/>
      <c r="Q7" s="29"/>
      <c r="R7" s="29"/>
      <c r="S7" s="37" t="s">
        <v>116</v>
      </c>
      <c r="T7" s="39"/>
    </row>
    <row r="8" ht="15.5" spans="1:21">
      <c r="A8" s="111">
        <v>6</v>
      </c>
      <c r="B8" s="111">
        <f t="shared" si="0"/>
        <v>96</v>
      </c>
      <c r="C8" s="112">
        <v>7.95</v>
      </c>
      <c r="D8" s="112">
        <v>7.95</v>
      </c>
      <c r="E8" s="112">
        <v>7.95</v>
      </c>
      <c r="F8" s="112">
        <v>8.23</v>
      </c>
      <c r="G8" s="112">
        <v>8.5</v>
      </c>
      <c r="H8" s="112">
        <v>8.98</v>
      </c>
      <c r="I8" s="112">
        <v>9.48</v>
      </c>
      <c r="L8" s="48"/>
      <c r="M8" s="49"/>
      <c r="N8" s="35" t="s">
        <v>209</v>
      </c>
      <c r="O8" s="35"/>
      <c r="P8" s="35"/>
      <c r="Q8" s="35"/>
      <c r="R8" s="35"/>
      <c r="S8" s="122"/>
      <c r="T8" s="123"/>
    </row>
    <row r="9" ht="15.5" spans="1:21">
      <c r="A9" s="111">
        <v>7</v>
      </c>
      <c r="B9" s="111">
        <f t="shared" si="0"/>
        <v>112</v>
      </c>
      <c r="C9" s="112">
        <v>7.95</v>
      </c>
      <c r="D9" s="112">
        <v>7.95</v>
      </c>
      <c r="E9" s="112">
        <v>7.95</v>
      </c>
      <c r="F9" s="112">
        <v>8.46</v>
      </c>
      <c r="G9" s="112">
        <v>8.65</v>
      </c>
      <c r="H9" s="112">
        <v>9.21</v>
      </c>
      <c r="I9" s="112">
        <v>9.83</v>
      </c>
      <c r="L9" s="27" t="s">
        <v>210</v>
      </c>
      <c r="M9" s="28"/>
      <c r="N9" s="43" t="s">
        <v>211</v>
      </c>
      <c r="O9" s="29"/>
      <c r="P9" s="29"/>
      <c r="Q9" s="29"/>
      <c r="R9" s="29"/>
      <c r="S9" s="81">
        <v>3.3</v>
      </c>
      <c r="T9" s="82"/>
    </row>
    <row r="10" ht="15.5" spans="1:21">
      <c r="A10" s="111">
        <v>8</v>
      </c>
      <c r="B10" s="111">
        <f t="shared" si="0"/>
        <v>128</v>
      </c>
      <c r="C10" s="112">
        <v>7.95</v>
      </c>
      <c r="D10" s="112">
        <v>7.95</v>
      </c>
      <c r="E10" s="112">
        <v>8.09</v>
      </c>
      <c r="F10" s="112">
        <v>8.7</v>
      </c>
      <c r="G10" s="112">
        <v>8.99</v>
      </c>
      <c r="H10" s="112">
        <v>9.56</v>
      </c>
      <c r="I10" s="112">
        <v>10.24</v>
      </c>
      <c r="L10" s="27" t="s">
        <v>212</v>
      </c>
      <c r="M10" s="28"/>
      <c r="N10" s="116" t="s">
        <v>213</v>
      </c>
      <c r="O10" s="117"/>
      <c r="P10" s="117"/>
      <c r="Q10" s="117"/>
      <c r="R10" s="117"/>
      <c r="S10" s="124">
        <v>4.41</v>
      </c>
      <c r="T10" s="82"/>
    </row>
    <row r="11" ht="16.25" spans="1:21">
      <c r="A11" s="111">
        <v>9</v>
      </c>
      <c r="B11" s="111">
        <f t="shared" si="0"/>
        <v>144</v>
      </c>
      <c r="C11" s="112">
        <v>7.95</v>
      </c>
      <c r="D11" s="112">
        <v>7.95</v>
      </c>
      <c r="E11" s="112">
        <v>8.11</v>
      </c>
      <c r="F11" s="112">
        <v>8.76</v>
      </c>
      <c r="G11" s="112">
        <v>9.18</v>
      </c>
      <c r="H11" s="112">
        <v>9.94</v>
      </c>
      <c r="I11" s="112">
        <v>10.76</v>
      </c>
      <c r="L11" s="59" t="s">
        <v>214</v>
      </c>
      <c r="M11" s="125"/>
      <c r="N11" s="126" t="s">
        <v>215</v>
      </c>
      <c r="O11" s="127"/>
      <c r="P11" s="127"/>
      <c r="Q11" s="127"/>
      <c r="R11" s="127"/>
      <c r="S11" s="70">
        <v>7.1</v>
      </c>
      <c r="T11" s="71"/>
    </row>
    <row r="12" ht="16.25" spans="1:21">
      <c r="A12" s="111">
        <v>10</v>
      </c>
      <c r="B12" s="111">
        <f t="shared" si="0"/>
        <v>160</v>
      </c>
      <c r="C12" s="112">
        <v>13.98</v>
      </c>
      <c r="D12" s="112">
        <v>15.01</v>
      </c>
      <c r="E12" s="112">
        <v>16.44</v>
      </c>
      <c r="F12" s="112">
        <v>18.1</v>
      </c>
      <c r="G12" s="112">
        <v>18.68</v>
      </c>
      <c r="H12" s="112">
        <v>20.75</v>
      </c>
      <c r="I12" s="112">
        <v>23.13</v>
      </c>
      <c r="L12" s="128"/>
      <c r="M12" s="129"/>
      <c r="N12" s="126" t="s">
        <v>216</v>
      </c>
      <c r="O12" s="127"/>
      <c r="P12" s="127"/>
      <c r="Q12" s="127"/>
      <c r="R12" s="127"/>
      <c r="S12" s="70"/>
      <c r="T12" s="71"/>
    </row>
    <row r="13" ht="16.25" spans="1:21">
      <c r="A13" s="111">
        <v>11</v>
      </c>
      <c r="B13" s="111">
        <f t="shared" si="0"/>
        <v>176</v>
      </c>
      <c r="C13" s="112">
        <v>14.75</v>
      </c>
      <c r="D13" s="112">
        <v>15.35</v>
      </c>
      <c r="E13" s="112">
        <v>16.79</v>
      </c>
      <c r="F13" s="112">
        <v>18.2</v>
      </c>
      <c r="G13" s="112">
        <v>19.15</v>
      </c>
      <c r="H13" s="112">
        <v>22.53</v>
      </c>
      <c r="I13" s="112">
        <v>24.65</v>
      </c>
      <c r="L13" s="128"/>
      <c r="M13" s="129"/>
      <c r="N13" s="126" t="s">
        <v>217</v>
      </c>
      <c r="O13" s="127"/>
      <c r="P13" s="127"/>
      <c r="Q13" s="127"/>
      <c r="R13" s="127"/>
      <c r="S13" s="70"/>
      <c r="T13" s="71"/>
    </row>
    <row r="14" ht="15.5" spans="1:21">
      <c r="A14" s="111">
        <v>12</v>
      </c>
      <c r="B14" s="111">
        <f t="shared" si="0"/>
        <v>192</v>
      </c>
      <c r="C14" s="112">
        <v>14.88</v>
      </c>
      <c r="D14" s="112">
        <v>15.98</v>
      </c>
      <c r="E14" s="112">
        <v>16.95</v>
      </c>
      <c r="F14" s="112">
        <v>18.45</v>
      </c>
      <c r="G14" s="112">
        <v>19.82</v>
      </c>
      <c r="H14" s="112">
        <v>23.61</v>
      </c>
      <c r="I14" s="112">
        <v>25.59</v>
      </c>
      <c r="L14" s="130"/>
      <c r="M14" s="131"/>
      <c r="N14" s="132" t="s">
        <v>218</v>
      </c>
      <c r="O14" s="133"/>
      <c r="P14" s="133"/>
      <c r="Q14" s="133"/>
      <c r="R14" s="133"/>
      <c r="S14" s="81"/>
      <c r="T14" s="82"/>
    </row>
    <row r="15" ht="15.5" spans="1:21">
      <c r="A15" s="111">
        <v>13</v>
      </c>
      <c r="B15" s="111">
        <f t="shared" si="0"/>
        <v>208</v>
      </c>
      <c r="C15" s="112">
        <v>14.89</v>
      </c>
      <c r="D15" s="112">
        <v>15.99</v>
      </c>
      <c r="E15" s="112">
        <v>17.02</v>
      </c>
      <c r="F15" s="112">
        <v>18.67</v>
      </c>
      <c r="G15" s="112">
        <v>20.43</v>
      </c>
      <c r="H15" s="112">
        <v>24.86</v>
      </c>
      <c r="I15" s="112">
        <v>26.76</v>
      </c>
      <c r="L15" s="59" t="s">
        <v>219</v>
      </c>
      <c r="M15" s="125"/>
      <c r="N15" s="134" t="s">
        <v>220</v>
      </c>
      <c r="O15" s="135"/>
      <c r="P15" s="135"/>
      <c r="Q15" s="135"/>
      <c r="R15" s="135"/>
      <c r="S15" s="81">
        <v>1.05</v>
      </c>
      <c r="T15" s="82"/>
    </row>
    <row r="16" ht="16.25" spans="1:21">
      <c r="A16" s="111">
        <v>14</v>
      </c>
      <c r="B16" s="111">
        <f t="shared" si="0"/>
        <v>224</v>
      </c>
      <c r="C16" s="112">
        <v>15.62</v>
      </c>
      <c r="D16" s="112">
        <v>16.49</v>
      </c>
      <c r="E16" s="112">
        <v>17.32</v>
      </c>
      <c r="F16" s="112">
        <v>19.28</v>
      </c>
      <c r="G16" s="112">
        <v>21.63</v>
      </c>
      <c r="H16" s="112">
        <v>26.83</v>
      </c>
      <c r="I16" s="112">
        <v>29.07</v>
      </c>
      <c r="L16" s="59" t="s">
        <v>132</v>
      </c>
      <c r="M16" s="136"/>
      <c r="N16" s="126" t="s">
        <v>221</v>
      </c>
      <c r="O16" s="127"/>
      <c r="P16" s="127"/>
      <c r="Q16" s="127"/>
      <c r="R16" s="127"/>
      <c r="S16" s="44">
        <v>1</v>
      </c>
      <c r="T16" s="137"/>
    </row>
    <row r="17" ht="16.25" spans="1:20">
      <c r="A17" s="111">
        <v>15</v>
      </c>
      <c r="B17" s="111">
        <f t="shared" si="0"/>
        <v>240</v>
      </c>
      <c r="C17" s="112">
        <v>15.63</v>
      </c>
      <c r="D17" s="112">
        <v>16.71</v>
      </c>
      <c r="E17" s="112">
        <v>17.56</v>
      </c>
      <c r="F17" s="112">
        <v>19.8</v>
      </c>
      <c r="G17" s="112">
        <v>22.8</v>
      </c>
      <c r="H17" s="112">
        <v>27.44</v>
      </c>
      <c r="I17" s="112">
        <v>30.27</v>
      </c>
      <c r="L17" s="128"/>
      <c r="M17" s="138"/>
      <c r="N17" s="126" t="s">
        <v>222</v>
      </c>
      <c r="O17" s="127"/>
      <c r="P17" s="127"/>
      <c r="Q17" s="127"/>
      <c r="R17" s="127"/>
      <c r="S17" s="139">
        <v>1.52</v>
      </c>
      <c r="T17" s="140"/>
    </row>
    <row r="18" ht="15.5" spans="1:20">
      <c r="A18" s="111">
        <v>16</v>
      </c>
      <c r="B18" s="111">
        <f t="shared" si="0"/>
        <v>256</v>
      </c>
      <c r="C18" s="112">
        <v>16.5</v>
      </c>
      <c r="D18" s="112">
        <v>17.85</v>
      </c>
      <c r="E18" s="112">
        <v>18.42</v>
      </c>
      <c r="F18" s="112">
        <v>20.89</v>
      </c>
      <c r="G18" s="112">
        <v>24.44</v>
      </c>
      <c r="H18" s="112">
        <v>29.98</v>
      </c>
      <c r="I18" s="112">
        <v>32.72</v>
      </c>
      <c r="L18" s="128"/>
      <c r="M18" s="138"/>
      <c r="N18" s="141" t="s">
        <v>223</v>
      </c>
      <c r="O18" s="141"/>
      <c r="P18" s="141"/>
      <c r="Q18" s="141"/>
      <c r="R18" s="141"/>
      <c r="S18" s="142">
        <v>1</v>
      </c>
      <c r="T18" s="143"/>
    </row>
    <row r="19" ht="15.5" spans="1:20">
      <c r="A19" s="111">
        <v>17</v>
      </c>
      <c r="B19" s="111">
        <f t="shared" si="0"/>
        <v>272</v>
      </c>
      <c r="C19" s="112">
        <v>16.62</v>
      </c>
      <c r="D19" s="112">
        <v>18.23</v>
      </c>
      <c r="E19" s="112">
        <v>18.62</v>
      </c>
      <c r="F19" s="112">
        <v>21.49</v>
      </c>
      <c r="G19" s="112">
        <v>25.28</v>
      </c>
      <c r="H19" s="112">
        <v>31.28</v>
      </c>
      <c r="I19" s="112">
        <v>32.74</v>
      </c>
    </row>
    <row r="20" ht="15.5" spans="1:20">
      <c r="A20" s="111">
        <v>18</v>
      </c>
      <c r="B20" s="111">
        <f t="shared" si="0"/>
        <v>288</v>
      </c>
      <c r="C20" s="112">
        <v>16.79</v>
      </c>
      <c r="D20" s="112">
        <v>18.45</v>
      </c>
      <c r="E20" s="112">
        <v>18.81</v>
      </c>
      <c r="F20" s="112">
        <v>22.51</v>
      </c>
      <c r="G20" s="112">
        <v>26.6</v>
      </c>
      <c r="H20" s="112">
        <v>32.45</v>
      </c>
      <c r="I20" s="112">
        <v>35.29</v>
      </c>
    </row>
    <row r="21" ht="15.5" spans="1:20">
      <c r="A21" s="111">
        <v>19</v>
      </c>
      <c r="B21" s="111">
        <f t="shared" si="0"/>
        <v>304</v>
      </c>
      <c r="C21" s="112">
        <v>17.22</v>
      </c>
      <c r="D21" s="112">
        <v>19.36</v>
      </c>
      <c r="E21" s="112">
        <v>19.78</v>
      </c>
      <c r="F21" s="112">
        <v>23.56</v>
      </c>
      <c r="G21" s="112">
        <v>27.38</v>
      </c>
      <c r="H21" s="112">
        <v>33.18</v>
      </c>
      <c r="I21" s="112">
        <v>37.26</v>
      </c>
    </row>
    <row r="22" ht="15.5" spans="1:20">
      <c r="A22" s="111">
        <v>20</v>
      </c>
      <c r="B22" s="111">
        <f t="shared" si="0"/>
        <v>320</v>
      </c>
      <c r="C22" s="112">
        <v>17.23</v>
      </c>
      <c r="D22" s="112">
        <v>19.37</v>
      </c>
      <c r="E22" s="112">
        <v>19.78</v>
      </c>
      <c r="F22" s="112">
        <v>24.31</v>
      </c>
      <c r="G22" s="112">
        <v>28.3</v>
      </c>
      <c r="H22" s="112">
        <v>34.41</v>
      </c>
      <c r="I22" s="112">
        <v>38.31</v>
      </c>
    </row>
    <row r="23" ht="15.5" spans="1:20">
      <c r="A23" s="111">
        <v>21</v>
      </c>
      <c r="B23" s="111">
        <f t="shared" si="0"/>
        <v>336</v>
      </c>
      <c r="C23" s="112">
        <v>27.55</v>
      </c>
      <c r="D23" s="112">
        <v>30.88</v>
      </c>
      <c r="E23" s="112">
        <v>31.98</v>
      </c>
      <c r="F23" s="112">
        <v>38.06</v>
      </c>
      <c r="G23" s="112">
        <v>44.83</v>
      </c>
      <c r="H23" s="112">
        <v>54.34</v>
      </c>
      <c r="I23" s="112">
        <v>60.67</v>
      </c>
    </row>
    <row r="24" ht="15.5" spans="1:20">
      <c r="A24" s="111">
        <v>22</v>
      </c>
      <c r="B24" s="111">
        <f t="shared" si="0"/>
        <v>352</v>
      </c>
      <c r="C24" s="112">
        <v>27.56</v>
      </c>
      <c r="D24" s="112">
        <v>31.43</v>
      </c>
      <c r="E24" s="112">
        <v>33.09</v>
      </c>
      <c r="F24" s="112">
        <v>39.09</v>
      </c>
      <c r="G24" s="112">
        <v>46.64</v>
      </c>
      <c r="H24" s="112">
        <v>56.33</v>
      </c>
      <c r="I24" s="112">
        <v>63.33</v>
      </c>
    </row>
    <row r="25" ht="15.5" spans="1:20">
      <c r="A25" s="111">
        <v>23</v>
      </c>
      <c r="B25" s="111">
        <f t="shared" si="0"/>
        <v>368</v>
      </c>
      <c r="C25" s="112">
        <v>27.58</v>
      </c>
      <c r="D25" s="112">
        <v>31.79</v>
      </c>
      <c r="E25" s="112">
        <v>33.56</v>
      </c>
      <c r="F25" s="112">
        <v>39.53</v>
      </c>
      <c r="G25" s="112">
        <v>48.41</v>
      </c>
      <c r="H25" s="112">
        <v>57.69</v>
      </c>
      <c r="I25" s="112">
        <v>65.83</v>
      </c>
    </row>
    <row r="26" ht="15.5" spans="1:20">
      <c r="A26" s="111">
        <v>24</v>
      </c>
      <c r="B26" s="111">
        <f t="shared" si="0"/>
        <v>384</v>
      </c>
      <c r="C26" s="112">
        <v>28.56</v>
      </c>
      <c r="D26" s="112">
        <v>33.31</v>
      </c>
      <c r="E26" s="112">
        <v>35.56</v>
      </c>
      <c r="F26" s="112">
        <v>41.93</v>
      </c>
      <c r="G26" s="112">
        <v>51.08</v>
      </c>
      <c r="H26" s="112">
        <v>59.62</v>
      </c>
      <c r="I26" s="112">
        <v>69.6</v>
      </c>
    </row>
    <row r="27" ht="15.5" spans="1:20">
      <c r="A27" s="111">
        <v>25</v>
      </c>
      <c r="B27" s="111">
        <f t="shared" si="0"/>
        <v>400</v>
      </c>
      <c r="C27" s="112">
        <v>28.57</v>
      </c>
      <c r="D27" s="112">
        <v>33.44</v>
      </c>
      <c r="E27" s="112">
        <v>35.71</v>
      </c>
      <c r="F27" s="112">
        <v>42.75</v>
      </c>
      <c r="G27" s="112">
        <v>52.17</v>
      </c>
      <c r="H27" s="112">
        <v>62.9</v>
      </c>
      <c r="I27" s="112">
        <v>71.73</v>
      </c>
    </row>
    <row r="28" ht="15.5" spans="1:20">
      <c r="A28" s="111">
        <v>26</v>
      </c>
      <c r="B28" s="111">
        <f t="shared" si="0"/>
        <v>416</v>
      </c>
      <c r="C28" s="112">
        <v>30.02</v>
      </c>
      <c r="D28" s="112">
        <v>34.59</v>
      </c>
      <c r="E28" s="112">
        <v>37.2</v>
      </c>
      <c r="F28" s="112">
        <v>44.49</v>
      </c>
      <c r="G28" s="112">
        <v>54.06</v>
      </c>
      <c r="H28" s="112">
        <v>65.46</v>
      </c>
      <c r="I28" s="112">
        <v>74.7</v>
      </c>
    </row>
    <row r="29" ht="15.5" spans="1:20">
      <c r="A29" s="111">
        <v>27</v>
      </c>
      <c r="B29" s="111">
        <f t="shared" si="0"/>
        <v>432</v>
      </c>
      <c r="C29" s="112">
        <v>30.86</v>
      </c>
      <c r="D29" s="112">
        <v>35.4</v>
      </c>
      <c r="E29" s="112">
        <v>37.93</v>
      </c>
      <c r="F29" s="112">
        <v>45.22</v>
      </c>
      <c r="G29" s="112">
        <v>56.24</v>
      </c>
      <c r="H29" s="112">
        <v>66.68</v>
      </c>
      <c r="I29" s="112">
        <v>75.95</v>
      </c>
    </row>
    <row r="30" ht="15.5" spans="1:20">
      <c r="A30" s="111">
        <v>28</v>
      </c>
      <c r="B30" s="111">
        <f t="shared" si="0"/>
        <v>448</v>
      </c>
      <c r="C30" s="112">
        <v>31.57</v>
      </c>
      <c r="D30" s="112">
        <v>36.26</v>
      </c>
      <c r="E30" s="112">
        <v>39.4</v>
      </c>
      <c r="F30" s="112">
        <v>47.52</v>
      </c>
      <c r="G30" s="112">
        <v>58.97</v>
      </c>
      <c r="H30" s="112">
        <v>69.66</v>
      </c>
      <c r="I30" s="112">
        <v>78.85</v>
      </c>
    </row>
    <row r="31" ht="15.5" spans="1:20">
      <c r="A31" s="111">
        <v>29</v>
      </c>
      <c r="B31" s="111">
        <f t="shared" si="0"/>
        <v>464</v>
      </c>
      <c r="C31" s="112">
        <v>31.59</v>
      </c>
      <c r="D31" s="112">
        <v>36.94</v>
      </c>
      <c r="E31" s="112">
        <v>39.75</v>
      </c>
      <c r="F31" s="112">
        <v>47.53</v>
      </c>
      <c r="G31" s="112">
        <v>60.66</v>
      </c>
      <c r="H31" s="112">
        <v>71.25</v>
      </c>
      <c r="I31" s="112">
        <v>80.95</v>
      </c>
    </row>
    <row r="32" ht="15.5" spans="1:20">
      <c r="A32" s="111">
        <v>30</v>
      </c>
      <c r="B32" s="111">
        <f t="shared" si="0"/>
        <v>480</v>
      </c>
      <c r="C32" s="112">
        <v>31.72</v>
      </c>
      <c r="D32" s="112">
        <v>37.83</v>
      </c>
      <c r="E32" s="112">
        <v>41.26</v>
      </c>
      <c r="F32" s="112">
        <v>49.4</v>
      </c>
      <c r="G32" s="112">
        <v>61.64</v>
      </c>
      <c r="H32" s="112">
        <v>71.6</v>
      </c>
      <c r="I32" s="112">
        <v>84.31</v>
      </c>
    </row>
    <row r="33" ht="15.5" spans="1:9">
      <c r="A33" s="111">
        <v>31</v>
      </c>
      <c r="B33" s="111">
        <f t="shared" si="0"/>
        <v>496</v>
      </c>
      <c r="C33" s="112">
        <v>33.32</v>
      </c>
      <c r="D33" s="112">
        <v>38.66</v>
      </c>
      <c r="E33" s="112">
        <v>42.41</v>
      </c>
      <c r="F33" s="112">
        <v>50.42</v>
      </c>
      <c r="G33" s="112">
        <v>63.42</v>
      </c>
      <c r="H33" s="112">
        <v>74.25</v>
      </c>
      <c r="I33" s="112">
        <v>87</v>
      </c>
    </row>
    <row r="34" ht="15.5" spans="1:9">
      <c r="A34" s="111">
        <v>32</v>
      </c>
      <c r="B34" s="111">
        <f t="shared" si="0"/>
        <v>512</v>
      </c>
      <c r="C34" s="112">
        <v>33.35</v>
      </c>
      <c r="D34" s="112">
        <v>38.68</v>
      </c>
      <c r="E34" s="112">
        <v>42.43</v>
      </c>
      <c r="F34" s="112">
        <v>50.43</v>
      </c>
      <c r="G34" s="112">
        <v>63.44</v>
      </c>
      <c r="H34" s="112">
        <v>74.27</v>
      </c>
      <c r="I34" s="112">
        <v>87.95</v>
      </c>
    </row>
    <row r="35" ht="15.5" spans="1:9">
      <c r="A35" s="111">
        <v>33</v>
      </c>
      <c r="B35" s="111">
        <f t="shared" si="0"/>
        <v>528</v>
      </c>
      <c r="C35" s="112">
        <v>33.47</v>
      </c>
      <c r="D35" s="112">
        <v>39.24</v>
      </c>
      <c r="E35" s="112">
        <v>44.33</v>
      </c>
      <c r="F35" s="112">
        <v>52.78</v>
      </c>
      <c r="G35" s="112">
        <v>67.42</v>
      </c>
      <c r="H35" s="112">
        <v>76.72</v>
      </c>
      <c r="I35" s="112">
        <v>90.33</v>
      </c>
    </row>
    <row r="36" ht="15.5" spans="1:9">
      <c r="A36" s="111">
        <v>34</v>
      </c>
      <c r="B36" s="111">
        <f t="shared" si="0"/>
        <v>544</v>
      </c>
      <c r="C36" s="112">
        <v>33.48</v>
      </c>
      <c r="D36" s="112">
        <v>40.13</v>
      </c>
      <c r="E36" s="112">
        <v>45.73</v>
      </c>
      <c r="F36" s="112">
        <v>54.61</v>
      </c>
      <c r="G36" s="112">
        <v>67.43</v>
      </c>
      <c r="H36" s="112">
        <v>79</v>
      </c>
      <c r="I36" s="112">
        <v>94.65</v>
      </c>
    </row>
    <row r="37" ht="15.5" spans="1:9">
      <c r="A37" s="111">
        <v>35</v>
      </c>
      <c r="B37" s="111">
        <f t="shared" si="0"/>
        <v>560</v>
      </c>
      <c r="C37" s="112">
        <v>34.11</v>
      </c>
      <c r="D37" s="112">
        <v>41.93</v>
      </c>
      <c r="E37" s="112">
        <v>46.88</v>
      </c>
      <c r="F37" s="112">
        <v>55.52</v>
      </c>
      <c r="G37" s="112">
        <v>68.58</v>
      </c>
      <c r="H37" s="112">
        <v>81.03</v>
      </c>
      <c r="I37" s="112">
        <v>95.33</v>
      </c>
    </row>
    <row r="38" ht="15.5" spans="1:9">
      <c r="A38" s="111">
        <v>36</v>
      </c>
      <c r="B38" s="111">
        <f t="shared" si="0"/>
        <v>576</v>
      </c>
      <c r="C38" s="112">
        <v>34.62</v>
      </c>
      <c r="D38" s="112">
        <v>42.26</v>
      </c>
      <c r="E38" s="112">
        <v>47.62</v>
      </c>
      <c r="F38" s="112">
        <v>57.31</v>
      </c>
      <c r="G38" s="112">
        <v>71.46</v>
      </c>
      <c r="H38" s="112">
        <v>83.78</v>
      </c>
      <c r="I38" s="112">
        <v>99.06</v>
      </c>
    </row>
    <row r="39" ht="15.5" spans="1:9">
      <c r="A39" s="111">
        <v>37</v>
      </c>
      <c r="B39" s="111">
        <f t="shared" si="0"/>
        <v>592</v>
      </c>
      <c r="C39" s="112">
        <v>35.39</v>
      </c>
      <c r="D39" s="112">
        <v>42.83</v>
      </c>
      <c r="E39" s="112">
        <v>48.12</v>
      </c>
      <c r="F39" s="112">
        <v>58.15</v>
      </c>
      <c r="G39" s="112">
        <v>71.78</v>
      </c>
      <c r="H39" s="112">
        <v>86.49</v>
      </c>
      <c r="I39" s="112">
        <v>100.03</v>
      </c>
    </row>
    <row r="40" ht="15.5" spans="1:9">
      <c r="A40" s="111">
        <v>38</v>
      </c>
      <c r="B40" s="111">
        <f t="shared" si="0"/>
        <v>608</v>
      </c>
      <c r="C40" s="112">
        <v>35.69</v>
      </c>
      <c r="D40" s="112">
        <v>43.47</v>
      </c>
      <c r="E40" s="112">
        <v>49.65</v>
      </c>
      <c r="F40" s="112">
        <v>59.55</v>
      </c>
      <c r="G40" s="112">
        <v>73.39</v>
      </c>
      <c r="H40" s="112">
        <v>86.83</v>
      </c>
      <c r="I40" s="112">
        <v>101.88</v>
      </c>
    </row>
    <row r="41" ht="15.5" spans="1:9">
      <c r="A41" s="111">
        <v>39</v>
      </c>
      <c r="B41" s="111">
        <f t="shared" si="0"/>
        <v>624</v>
      </c>
      <c r="C41" s="112">
        <v>37.14</v>
      </c>
      <c r="D41" s="112">
        <v>45.17</v>
      </c>
      <c r="E41" s="112">
        <v>51.75</v>
      </c>
      <c r="F41" s="112">
        <v>61.83</v>
      </c>
      <c r="G41" s="112">
        <v>76.73</v>
      </c>
      <c r="H41" s="112">
        <v>90.24</v>
      </c>
      <c r="I41" s="112">
        <v>103.97</v>
      </c>
    </row>
    <row r="42" ht="15.5" spans="1:9">
      <c r="A42" s="111">
        <v>40</v>
      </c>
      <c r="B42" s="111">
        <f t="shared" si="0"/>
        <v>640</v>
      </c>
      <c r="C42" s="112">
        <v>37.17</v>
      </c>
      <c r="D42" s="112">
        <v>45.35</v>
      </c>
      <c r="E42" s="112">
        <v>51.77</v>
      </c>
      <c r="F42" s="112">
        <v>61.86</v>
      </c>
      <c r="G42" s="112">
        <v>76.84</v>
      </c>
      <c r="H42" s="112">
        <v>90.25</v>
      </c>
      <c r="I42" s="112">
        <v>104.01</v>
      </c>
    </row>
    <row r="43" ht="15.5" spans="1:9">
      <c r="A43" s="111">
        <v>41</v>
      </c>
      <c r="B43" s="111">
        <f t="shared" si="0"/>
        <v>656</v>
      </c>
      <c r="C43" s="112">
        <v>38</v>
      </c>
      <c r="D43" s="112">
        <v>47.28</v>
      </c>
      <c r="E43" s="112">
        <v>53.28</v>
      </c>
      <c r="F43" s="112">
        <v>64.05</v>
      </c>
      <c r="G43" s="112">
        <v>80.37</v>
      </c>
      <c r="H43" s="112">
        <v>93.03</v>
      </c>
      <c r="I43" s="112">
        <v>108.47</v>
      </c>
    </row>
    <row r="44" ht="15.5" spans="1:9">
      <c r="A44" s="111">
        <v>42</v>
      </c>
      <c r="B44" s="111">
        <f t="shared" si="0"/>
        <v>672</v>
      </c>
      <c r="C44" s="112">
        <v>38.04</v>
      </c>
      <c r="D44" s="112">
        <v>47.45</v>
      </c>
      <c r="E44" s="112">
        <v>55.34</v>
      </c>
      <c r="F44" s="112">
        <v>64.06</v>
      </c>
      <c r="G44" s="112">
        <v>80.39</v>
      </c>
      <c r="H44" s="112">
        <v>94.61</v>
      </c>
      <c r="I44" s="112">
        <v>108.48</v>
      </c>
    </row>
    <row r="45" ht="15.5" spans="1:9">
      <c r="A45" s="111">
        <v>43</v>
      </c>
      <c r="B45" s="111">
        <f t="shared" si="0"/>
        <v>688</v>
      </c>
      <c r="C45" s="112">
        <v>38.74</v>
      </c>
      <c r="D45" s="112">
        <v>48.15</v>
      </c>
      <c r="E45" s="112">
        <v>55.43</v>
      </c>
      <c r="F45" s="112">
        <v>67.52</v>
      </c>
      <c r="G45" s="112">
        <v>85.21</v>
      </c>
      <c r="H45" s="112">
        <v>98.04</v>
      </c>
      <c r="I45" s="112">
        <v>111.43</v>
      </c>
    </row>
    <row r="46" ht="15.5" spans="1:9">
      <c r="A46" s="111">
        <v>44</v>
      </c>
      <c r="B46" s="111">
        <f t="shared" si="0"/>
        <v>704</v>
      </c>
      <c r="C46" s="112">
        <v>39.29</v>
      </c>
      <c r="D46" s="112">
        <v>48.86</v>
      </c>
      <c r="E46" s="112">
        <v>56.84</v>
      </c>
      <c r="F46" s="112">
        <v>68.73</v>
      </c>
      <c r="G46" s="112">
        <v>85.22</v>
      </c>
      <c r="H46" s="112">
        <v>101.09</v>
      </c>
      <c r="I46" s="112">
        <v>112.58</v>
      </c>
    </row>
    <row r="47" ht="15.5" spans="1:9">
      <c r="A47" s="111">
        <v>45</v>
      </c>
      <c r="B47" s="111">
        <f t="shared" si="0"/>
        <v>720</v>
      </c>
      <c r="C47" s="112">
        <v>39.34</v>
      </c>
      <c r="D47" s="112">
        <v>48.88</v>
      </c>
      <c r="E47" s="112">
        <v>56.86</v>
      </c>
      <c r="F47" s="112">
        <v>68.75</v>
      </c>
      <c r="G47" s="112">
        <v>85.26</v>
      </c>
      <c r="H47" s="112">
        <v>103.06</v>
      </c>
      <c r="I47" s="112">
        <v>113.36</v>
      </c>
    </row>
    <row r="48" ht="15.5" spans="1:9">
      <c r="A48" s="111">
        <v>46</v>
      </c>
      <c r="B48" s="111">
        <f t="shared" si="0"/>
        <v>736</v>
      </c>
      <c r="C48" s="112">
        <v>40.44</v>
      </c>
      <c r="D48" s="112">
        <v>49.39</v>
      </c>
      <c r="E48" s="112">
        <v>58.67</v>
      </c>
      <c r="F48" s="112">
        <v>70.05</v>
      </c>
      <c r="G48" s="112">
        <v>87.5</v>
      </c>
      <c r="H48" s="112">
        <v>104.16</v>
      </c>
      <c r="I48" s="112">
        <v>116.38</v>
      </c>
    </row>
    <row r="49" ht="15.5" spans="1:9">
      <c r="A49" s="111">
        <v>47</v>
      </c>
      <c r="B49" s="111">
        <f t="shared" si="0"/>
        <v>752</v>
      </c>
      <c r="C49" s="112">
        <v>40.47</v>
      </c>
      <c r="D49" s="112">
        <v>50.5</v>
      </c>
      <c r="E49" s="112">
        <v>59.61</v>
      </c>
      <c r="F49" s="112">
        <v>70.55</v>
      </c>
      <c r="G49" s="112">
        <v>88.75</v>
      </c>
      <c r="H49" s="112">
        <v>106.19</v>
      </c>
      <c r="I49" s="112">
        <v>118.25</v>
      </c>
    </row>
    <row r="50" ht="15.5" spans="1:9">
      <c r="A50" s="111">
        <v>48</v>
      </c>
      <c r="B50" s="111">
        <f t="shared" si="0"/>
        <v>768</v>
      </c>
      <c r="C50" s="112">
        <v>40.48</v>
      </c>
      <c r="D50" s="112">
        <v>50.6</v>
      </c>
      <c r="E50" s="112">
        <v>60.29</v>
      </c>
      <c r="F50" s="112">
        <v>73.1</v>
      </c>
      <c r="G50" s="112">
        <v>90</v>
      </c>
      <c r="H50" s="112">
        <v>107.96</v>
      </c>
      <c r="I50" s="112">
        <v>121.03</v>
      </c>
    </row>
    <row r="51" ht="15.5" spans="1:9">
      <c r="A51" s="111">
        <v>49</v>
      </c>
      <c r="B51" s="111">
        <f t="shared" si="0"/>
        <v>784</v>
      </c>
      <c r="C51" s="112">
        <v>40.49</v>
      </c>
      <c r="D51" s="112">
        <v>50.61</v>
      </c>
      <c r="E51" s="112">
        <v>60.3</v>
      </c>
      <c r="F51" s="112">
        <v>73.12</v>
      </c>
      <c r="G51" s="112">
        <v>91.36</v>
      </c>
      <c r="H51" s="112">
        <v>110.14</v>
      </c>
      <c r="I51" s="112">
        <v>121.75</v>
      </c>
    </row>
    <row r="52" ht="15.5" spans="1:9">
      <c r="A52" s="111">
        <v>50</v>
      </c>
      <c r="B52" s="111">
        <f t="shared" si="0"/>
        <v>800</v>
      </c>
      <c r="C52" s="112">
        <v>40.51</v>
      </c>
      <c r="D52" s="112">
        <v>50.64</v>
      </c>
      <c r="E52" s="112">
        <v>60.33</v>
      </c>
      <c r="F52" s="112">
        <v>73.17</v>
      </c>
      <c r="G52" s="112">
        <v>91.46</v>
      </c>
      <c r="H52" s="112">
        <v>110.27</v>
      </c>
      <c r="I52" s="112">
        <v>122.53</v>
      </c>
    </row>
    <row r="53" ht="15.5" spans="1:9">
      <c r="A53" s="111">
        <v>51</v>
      </c>
      <c r="B53" s="111">
        <f t="shared" si="0"/>
        <v>816</v>
      </c>
      <c r="C53" s="112">
        <v>40.52</v>
      </c>
      <c r="D53" s="112">
        <v>50.65</v>
      </c>
      <c r="E53" s="112">
        <v>60.34</v>
      </c>
      <c r="F53" s="112">
        <v>73.18</v>
      </c>
      <c r="G53" s="112">
        <v>92.17</v>
      </c>
      <c r="H53" s="112">
        <v>111.12</v>
      </c>
      <c r="I53" s="112">
        <v>125.94</v>
      </c>
    </row>
    <row r="54" ht="15.5" spans="1:9">
      <c r="A54" s="111">
        <v>52</v>
      </c>
      <c r="B54" s="111">
        <f t="shared" si="0"/>
        <v>832</v>
      </c>
      <c r="C54" s="112">
        <v>40.53</v>
      </c>
      <c r="D54" s="112">
        <v>50.67</v>
      </c>
      <c r="E54" s="112">
        <v>60.38</v>
      </c>
      <c r="F54" s="112">
        <v>73.21</v>
      </c>
      <c r="G54" s="112">
        <v>92.19</v>
      </c>
      <c r="H54" s="112">
        <v>111.14</v>
      </c>
      <c r="I54" s="112">
        <v>125.95</v>
      </c>
    </row>
    <row r="55" ht="15.5" spans="1:9">
      <c r="A55" s="111">
        <v>53</v>
      </c>
      <c r="B55" s="111">
        <f t="shared" si="0"/>
        <v>848</v>
      </c>
      <c r="C55" s="112">
        <v>40.56</v>
      </c>
      <c r="D55" s="112">
        <v>50.68</v>
      </c>
      <c r="E55" s="112">
        <v>60.39</v>
      </c>
      <c r="F55" s="112">
        <v>73.94</v>
      </c>
      <c r="G55" s="112">
        <v>92.21</v>
      </c>
      <c r="H55" s="112">
        <v>111.16</v>
      </c>
      <c r="I55" s="112">
        <v>127.18</v>
      </c>
    </row>
    <row r="56" ht="15.5" spans="1:9">
      <c r="A56" s="111">
        <v>54</v>
      </c>
      <c r="B56" s="111">
        <f t="shared" si="0"/>
        <v>864</v>
      </c>
      <c r="C56" s="112">
        <v>40.57</v>
      </c>
      <c r="D56" s="112">
        <v>50.69</v>
      </c>
      <c r="E56" s="112">
        <v>60.5</v>
      </c>
      <c r="F56" s="112">
        <v>74.07</v>
      </c>
      <c r="G56" s="112">
        <v>92.22</v>
      </c>
      <c r="H56" s="112">
        <v>111.17</v>
      </c>
      <c r="I56" s="112">
        <v>127.19</v>
      </c>
    </row>
    <row r="57" ht="15.5" spans="1:9">
      <c r="A57" s="111">
        <v>55</v>
      </c>
      <c r="B57" s="111">
        <f t="shared" si="0"/>
        <v>880</v>
      </c>
      <c r="C57" s="112">
        <v>40.58</v>
      </c>
      <c r="D57" s="112">
        <v>50.71</v>
      </c>
      <c r="E57" s="112">
        <v>60.51</v>
      </c>
      <c r="F57" s="112">
        <v>74.08</v>
      </c>
      <c r="G57" s="112">
        <v>92.23</v>
      </c>
      <c r="H57" s="112">
        <v>111.18</v>
      </c>
      <c r="I57" s="112">
        <v>127.22</v>
      </c>
    </row>
    <row r="58" ht="15.5" spans="1:9">
      <c r="A58" s="111">
        <v>56</v>
      </c>
      <c r="B58" s="111">
        <f t="shared" si="0"/>
        <v>896</v>
      </c>
      <c r="C58" s="112">
        <v>40.6</v>
      </c>
      <c r="D58" s="112">
        <v>50.74</v>
      </c>
      <c r="E58" s="112">
        <v>60.53</v>
      </c>
      <c r="F58" s="112">
        <v>74.11</v>
      </c>
      <c r="G58" s="112">
        <v>92.26</v>
      </c>
      <c r="H58" s="112">
        <v>111.21</v>
      </c>
      <c r="I58" s="112">
        <v>127.61</v>
      </c>
    </row>
    <row r="59" ht="15.5" spans="1:9">
      <c r="A59" s="111">
        <v>57</v>
      </c>
      <c r="B59" s="111">
        <f t="shared" si="0"/>
        <v>912</v>
      </c>
      <c r="C59" s="112">
        <v>41.34</v>
      </c>
      <c r="D59" s="112">
        <v>50.99</v>
      </c>
      <c r="E59" s="112">
        <v>60.55</v>
      </c>
      <c r="F59" s="112">
        <v>76.33</v>
      </c>
      <c r="G59" s="112">
        <v>92.3</v>
      </c>
      <c r="H59" s="112">
        <v>111.23</v>
      </c>
      <c r="I59" s="112">
        <v>130.01</v>
      </c>
    </row>
    <row r="60" ht="15.5" spans="1:9">
      <c r="A60" s="111">
        <v>58</v>
      </c>
      <c r="B60" s="111">
        <f t="shared" si="0"/>
        <v>928</v>
      </c>
      <c r="C60" s="112">
        <v>41.35</v>
      </c>
      <c r="D60" s="112">
        <v>51.02</v>
      </c>
      <c r="E60" s="112">
        <v>60.56</v>
      </c>
      <c r="F60" s="112">
        <v>76.34</v>
      </c>
      <c r="G60" s="112">
        <v>92.31</v>
      </c>
      <c r="H60" s="112">
        <v>111.25</v>
      </c>
      <c r="I60" s="112">
        <v>130.03</v>
      </c>
    </row>
    <row r="61" ht="15.5" spans="1:9">
      <c r="A61" s="111">
        <v>59</v>
      </c>
      <c r="B61" s="111">
        <f t="shared" si="0"/>
        <v>944</v>
      </c>
      <c r="C61" s="112">
        <v>41.37</v>
      </c>
      <c r="D61" s="112">
        <v>51.06</v>
      </c>
      <c r="E61" s="112">
        <v>60.99</v>
      </c>
      <c r="F61" s="112">
        <v>76.38</v>
      </c>
      <c r="G61" s="112">
        <v>92.95</v>
      </c>
      <c r="H61" s="112">
        <v>111.26</v>
      </c>
      <c r="I61" s="112">
        <v>132.19</v>
      </c>
    </row>
    <row r="62" ht="15.5" spans="1:9">
      <c r="A62" s="111">
        <v>60</v>
      </c>
      <c r="B62" s="111">
        <f t="shared" si="0"/>
        <v>960</v>
      </c>
      <c r="C62" s="112">
        <v>42.52</v>
      </c>
      <c r="D62" s="112">
        <v>53.03</v>
      </c>
      <c r="E62" s="112">
        <v>62.03</v>
      </c>
      <c r="F62" s="112">
        <v>79.08</v>
      </c>
      <c r="G62" s="112">
        <v>94.68</v>
      </c>
      <c r="H62" s="112">
        <v>111.66</v>
      </c>
      <c r="I62" s="112">
        <v>132.99</v>
      </c>
    </row>
    <row r="63" ht="15.5" spans="1:9">
      <c r="A63" s="111">
        <v>61</v>
      </c>
      <c r="B63" s="111">
        <f t="shared" si="0"/>
        <v>976</v>
      </c>
      <c r="C63" s="112">
        <v>42.53</v>
      </c>
      <c r="D63" s="112">
        <v>53.17</v>
      </c>
      <c r="E63" s="112">
        <v>62.62</v>
      </c>
      <c r="F63" s="112">
        <v>79.1</v>
      </c>
      <c r="G63" s="112">
        <v>94.69</v>
      </c>
      <c r="H63" s="112">
        <v>111.68</v>
      </c>
      <c r="I63" s="112">
        <v>133</v>
      </c>
    </row>
    <row r="64" ht="15.5" spans="1:9">
      <c r="A64" s="111">
        <v>62</v>
      </c>
      <c r="B64" s="111">
        <f t="shared" si="0"/>
        <v>992</v>
      </c>
      <c r="C64" s="112">
        <v>44.28</v>
      </c>
      <c r="D64" s="112">
        <v>56.95</v>
      </c>
      <c r="E64" s="112">
        <v>63.65</v>
      </c>
      <c r="F64" s="112">
        <v>80.91</v>
      </c>
      <c r="G64" s="112">
        <v>96.15</v>
      </c>
      <c r="H64" s="112">
        <v>113.38</v>
      </c>
      <c r="I64" s="112">
        <v>135.89</v>
      </c>
    </row>
    <row r="65" ht="15.5" spans="1:9">
      <c r="A65" s="111">
        <v>63</v>
      </c>
      <c r="B65" s="111">
        <f t="shared" si="0"/>
        <v>1008</v>
      </c>
      <c r="C65" s="112">
        <v>44.31</v>
      </c>
      <c r="D65" s="112">
        <v>56.96</v>
      </c>
      <c r="E65" s="112">
        <v>64.26</v>
      </c>
      <c r="F65" s="112">
        <v>80.92</v>
      </c>
      <c r="G65" s="112">
        <v>96.82</v>
      </c>
      <c r="H65" s="112">
        <v>114.32</v>
      </c>
      <c r="I65" s="112">
        <v>135.91</v>
      </c>
    </row>
    <row r="66" ht="15.5" spans="1:9">
      <c r="A66" s="111">
        <v>64</v>
      </c>
      <c r="B66" s="111">
        <f t="shared" si="0"/>
        <v>1024</v>
      </c>
      <c r="C66" s="112">
        <v>45.47</v>
      </c>
      <c r="D66" s="112">
        <v>57</v>
      </c>
      <c r="E66" s="112">
        <v>64.82</v>
      </c>
      <c r="F66" s="112">
        <v>80.94</v>
      </c>
      <c r="G66" s="112">
        <v>97.49</v>
      </c>
      <c r="H66" s="112">
        <v>114.33</v>
      </c>
      <c r="I66" s="112">
        <v>136.48</v>
      </c>
    </row>
    <row r="67" ht="15.5" spans="1:9">
      <c r="A67" s="111">
        <v>65</v>
      </c>
      <c r="B67" s="111">
        <f t="shared" ref="B67:B72" si="1">A67*16</f>
        <v>1040</v>
      </c>
      <c r="C67" s="112">
        <v>45.98</v>
      </c>
      <c r="D67" s="112">
        <v>57.97</v>
      </c>
      <c r="E67" s="112">
        <v>64.83</v>
      </c>
      <c r="F67" s="112">
        <v>80.95</v>
      </c>
      <c r="G67" s="112">
        <v>98.36</v>
      </c>
      <c r="H67" s="112">
        <v>114.62</v>
      </c>
      <c r="I67" s="112">
        <v>136.49</v>
      </c>
    </row>
    <row r="68" ht="15.5" spans="1:9">
      <c r="A68" s="111">
        <v>66</v>
      </c>
      <c r="B68" s="111">
        <f t="shared" si="1"/>
        <v>1056</v>
      </c>
      <c r="C68" s="112">
        <v>46.19</v>
      </c>
      <c r="D68" s="112">
        <v>59.09</v>
      </c>
      <c r="E68" s="112">
        <v>65.34</v>
      </c>
      <c r="F68" s="112">
        <v>81.59</v>
      </c>
      <c r="G68" s="112">
        <v>98.41</v>
      </c>
      <c r="H68" s="112">
        <v>114.97</v>
      </c>
      <c r="I68" s="112">
        <v>138.36</v>
      </c>
    </row>
    <row r="69" ht="15.5" spans="1:9">
      <c r="A69" s="111">
        <v>67</v>
      </c>
      <c r="B69" s="111">
        <f t="shared" si="1"/>
        <v>1072</v>
      </c>
      <c r="C69" s="112">
        <v>46.21</v>
      </c>
      <c r="D69" s="112">
        <v>59.1</v>
      </c>
      <c r="E69" s="112">
        <v>65.36</v>
      </c>
      <c r="F69" s="112">
        <v>81.73</v>
      </c>
      <c r="G69" s="112">
        <v>99.18</v>
      </c>
      <c r="H69" s="112">
        <v>115.52</v>
      </c>
      <c r="I69" s="112">
        <v>138.37</v>
      </c>
    </row>
    <row r="70" ht="15.5" spans="1:9">
      <c r="A70" s="111">
        <v>68</v>
      </c>
      <c r="B70" s="111">
        <f t="shared" si="1"/>
        <v>1088</v>
      </c>
      <c r="C70" s="112">
        <v>46.73</v>
      </c>
      <c r="D70" s="112">
        <v>60.2</v>
      </c>
      <c r="E70" s="112">
        <v>69.3</v>
      </c>
      <c r="F70" s="112">
        <v>83.6</v>
      </c>
      <c r="G70" s="112">
        <v>100.64</v>
      </c>
      <c r="H70" s="112">
        <v>117.27</v>
      </c>
      <c r="I70" s="112">
        <v>138.38</v>
      </c>
    </row>
    <row r="71" ht="15.5" spans="1:9">
      <c r="A71" s="111">
        <v>69</v>
      </c>
      <c r="B71" s="111">
        <f t="shared" si="1"/>
        <v>1104</v>
      </c>
      <c r="C71" s="112">
        <v>47.71</v>
      </c>
      <c r="D71" s="112">
        <v>60.77</v>
      </c>
      <c r="E71" s="112">
        <v>69.98</v>
      </c>
      <c r="F71" s="112">
        <v>84.19</v>
      </c>
      <c r="G71" s="112">
        <v>102.13</v>
      </c>
      <c r="H71" s="112">
        <v>117.28</v>
      </c>
      <c r="I71" s="112">
        <v>140.29</v>
      </c>
    </row>
    <row r="72" ht="15.5" spans="1:9">
      <c r="A72" s="111">
        <v>70</v>
      </c>
      <c r="B72" s="111">
        <f t="shared" si="1"/>
        <v>1120</v>
      </c>
      <c r="C72" s="112">
        <v>47.73</v>
      </c>
      <c r="D72" s="112">
        <v>61.61</v>
      </c>
      <c r="E72" s="112">
        <v>70.96</v>
      </c>
      <c r="F72" s="112">
        <v>87.58</v>
      </c>
      <c r="G72" s="112">
        <v>103.19</v>
      </c>
      <c r="H72" s="112">
        <v>117.31</v>
      </c>
      <c r="I72" s="112">
        <v>140.3</v>
      </c>
    </row>
    <row r="73" ht="15.5" spans="1:9">
      <c r="A73" s="144"/>
      <c r="B73" s="144"/>
      <c r="C73" s="145"/>
      <c r="D73" s="145"/>
      <c r="E73" s="145"/>
      <c r="F73" s="145"/>
      <c r="G73" s="145"/>
      <c r="H73" s="145"/>
      <c r="I73" s="145"/>
    </row>
    <row r="74" ht="21" spans="1:9">
      <c r="A74" s="146" t="s">
        <v>224</v>
      </c>
      <c r="B74" s="147"/>
      <c r="C74" s="147"/>
      <c r="D74" s="147"/>
      <c r="E74" s="147"/>
      <c r="F74" s="147"/>
      <c r="G74" s="147"/>
      <c r="H74" s="147"/>
      <c r="I74" s="147"/>
    </row>
  </sheetData>
  <mergeCells count="39">
    <mergeCell ref="A1:B1"/>
    <mergeCell ref="C1:I1"/>
    <mergeCell ref="L1:M1"/>
    <mergeCell ref="S1:T1"/>
    <mergeCell ref="L2:M2"/>
    <mergeCell ref="N2:R2"/>
    <mergeCell ref="S2:T2"/>
    <mergeCell ref="N3:R3"/>
    <mergeCell ref="N4:R4"/>
    <mergeCell ref="N5:R5"/>
    <mergeCell ref="N6:R6"/>
    <mergeCell ref="N7:R7"/>
    <mergeCell ref="N8:R8"/>
    <mergeCell ref="L9:M9"/>
    <mergeCell ref="N9:R9"/>
    <mergeCell ref="S9:T9"/>
    <mergeCell ref="L10:M10"/>
    <mergeCell ref="N10:R10"/>
    <mergeCell ref="S10:T10"/>
    <mergeCell ref="N11:R11"/>
    <mergeCell ref="N12:R12"/>
    <mergeCell ref="N13:R13"/>
    <mergeCell ref="N14:R14"/>
    <mergeCell ref="L15:M15"/>
    <mergeCell ref="N15:R15"/>
    <mergeCell ref="S15:T15"/>
    <mergeCell ref="N16:R16"/>
    <mergeCell ref="S16:T16"/>
    <mergeCell ref="N17:R17"/>
    <mergeCell ref="S17:T17"/>
    <mergeCell ref="N18:R18"/>
    <mergeCell ref="S18:T18"/>
    <mergeCell ref="L3:M6"/>
    <mergeCell ref="S3:T6"/>
    <mergeCell ref="L7:M8"/>
    <mergeCell ref="S7:T8"/>
    <mergeCell ref="L11:M14"/>
    <mergeCell ref="S11:T14"/>
    <mergeCell ref="L16:M18"/>
  </mergeCells>
  <hyperlinks>
    <hyperlink ref="N8" r:id="rId1" display="https://www.fedex.com/en-us/shipping/fuel-surcharge.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7"/>
  <sheetViews>
    <sheetView workbookViewId="0">
      <selection activeCell="J1" sqref="J1:J11"/>
    </sheetView>
  </sheetViews>
  <sheetFormatPr defaultColWidth="8.89090909090909" defaultRowHeight="14"/>
  <cols>
    <col min="10" max="10" width="26.1090909090909" customWidth="1"/>
  </cols>
  <sheetData>
    <row r="1" ht="18.5" spans="1:10">
      <c r="A1" s="103" t="s">
        <v>105</v>
      </c>
      <c r="B1" s="104"/>
      <c r="C1" s="105" t="s">
        <v>106</v>
      </c>
      <c r="D1" s="106"/>
      <c r="E1" s="106"/>
      <c r="F1" s="106"/>
      <c r="G1" s="106"/>
      <c r="H1" s="106"/>
      <c r="I1" s="107"/>
      <c r="J1" s="11" t="s">
        <v>107</v>
      </c>
    </row>
    <row r="2" ht="18.5" spans="1:10">
      <c r="A2" s="108" t="s">
        <v>112</v>
      </c>
      <c r="B2" s="108" t="s">
        <v>113</v>
      </c>
      <c r="C2" s="109">
        <v>102</v>
      </c>
      <c r="D2" s="109">
        <v>103</v>
      </c>
      <c r="E2" s="109">
        <v>104</v>
      </c>
      <c r="F2" s="109">
        <v>105</v>
      </c>
      <c r="G2" s="109">
        <v>106</v>
      </c>
      <c r="H2" s="109">
        <v>107</v>
      </c>
      <c r="I2" s="109">
        <v>108</v>
      </c>
      <c r="J2" s="19" t="s">
        <v>5</v>
      </c>
    </row>
    <row r="3" ht="15.5" spans="1:10">
      <c r="A3" s="110">
        <f t="shared" ref="A3:A17" si="0">B3/16</f>
        <v>0.0625</v>
      </c>
      <c r="B3" s="111">
        <v>1</v>
      </c>
      <c r="C3" s="112">
        <v>30.67</v>
      </c>
      <c r="D3" s="112">
        <v>30.67</v>
      </c>
      <c r="E3" s="112">
        <v>30.67</v>
      </c>
      <c r="F3" s="112">
        <v>30.67</v>
      </c>
      <c r="G3" s="112">
        <v>30.67</v>
      </c>
      <c r="H3" s="112">
        <v>30.67</v>
      </c>
      <c r="I3" s="112">
        <v>31.13</v>
      </c>
      <c r="J3" s="19" t="s">
        <v>8</v>
      </c>
    </row>
    <row r="4" ht="15.5" spans="1:10">
      <c r="A4" s="110">
        <f t="shared" si="0"/>
        <v>0.125</v>
      </c>
      <c r="B4" s="111">
        <v>2</v>
      </c>
      <c r="C4" s="112">
        <v>30.67</v>
      </c>
      <c r="D4" s="112">
        <v>30.67</v>
      </c>
      <c r="E4" s="112">
        <v>30.67</v>
      </c>
      <c r="F4" s="112">
        <v>30.67</v>
      </c>
      <c r="G4" s="112">
        <v>30.67</v>
      </c>
      <c r="H4" s="112">
        <v>30.67</v>
      </c>
      <c r="I4" s="112">
        <v>31.13</v>
      </c>
      <c r="J4" s="19" t="s">
        <v>11</v>
      </c>
    </row>
    <row r="5" ht="15.5" spans="1:10">
      <c r="A5" s="110">
        <f t="shared" si="0"/>
        <v>0.1875</v>
      </c>
      <c r="B5" s="111">
        <v>3</v>
      </c>
      <c r="C5" s="112">
        <v>30.67</v>
      </c>
      <c r="D5" s="112">
        <v>30.67</v>
      </c>
      <c r="E5" s="112">
        <v>30.67</v>
      </c>
      <c r="F5" s="112">
        <v>30.67</v>
      </c>
      <c r="G5" s="112">
        <v>30.67</v>
      </c>
      <c r="H5" s="112">
        <v>30.67</v>
      </c>
      <c r="I5" s="112">
        <v>31.13</v>
      </c>
      <c r="J5" s="19" t="s">
        <v>13</v>
      </c>
    </row>
    <row r="6" ht="15.5" spans="1:10">
      <c r="A6" s="110">
        <f t="shared" si="0"/>
        <v>0.25</v>
      </c>
      <c r="B6" s="111">
        <v>4</v>
      </c>
      <c r="C6" s="112">
        <v>30.67</v>
      </c>
      <c r="D6" s="112">
        <v>30.67</v>
      </c>
      <c r="E6" s="112">
        <v>30.67</v>
      </c>
      <c r="F6" s="112">
        <v>30.67</v>
      </c>
      <c r="G6" s="112">
        <v>30.67</v>
      </c>
      <c r="H6" s="112">
        <v>30.67</v>
      </c>
      <c r="I6" s="112">
        <v>31.13</v>
      </c>
      <c r="J6" s="19" t="s">
        <v>15</v>
      </c>
    </row>
    <row r="7" ht="15.5" spans="1:10">
      <c r="A7" s="110">
        <f t="shared" si="0"/>
        <v>0.3125</v>
      </c>
      <c r="B7" s="111">
        <v>5</v>
      </c>
      <c r="C7" s="112">
        <v>30.67</v>
      </c>
      <c r="D7" s="112">
        <v>30.67</v>
      </c>
      <c r="E7" s="112">
        <v>30.67</v>
      </c>
      <c r="F7" s="112">
        <v>30.67</v>
      </c>
      <c r="G7" s="112">
        <v>30.67</v>
      </c>
      <c r="H7" s="112">
        <v>30.67</v>
      </c>
      <c r="I7" s="112">
        <v>31.13</v>
      </c>
      <c r="J7" s="19" t="s">
        <v>17</v>
      </c>
    </row>
    <row r="8" ht="15.5" spans="1:10">
      <c r="A8" s="110">
        <f t="shared" si="0"/>
        <v>0.375</v>
      </c>
      <c r="B8" s="111">
        <v>6</v>
      </c>
      <c r="C8" s="112">
        <v>30.67</v>
      </c>
      <c r="D8" s="112">
        <v>30.67</v>
      </c>
      <c r="E8" s="112">
        <v>30.67</v>
      </c>
      <c r="F8" s="112">
        <v>30.67</v>
      </c>
      <c r="G8" s="112">
        <v>30.67</v>
      </c>
      <c r="H8" s="112">
        <v>30.67</v>
      </c>
      <c r="I8" s="112">
        <v>31.13</v>
      </c>
      <c r="J8" s="11" t="s">
        <v>19</v>
      </c>
    </row>
    <row r="9" ht="15.5" spans="1:10">
      <c r="A9" s="110">
        <f t="shared" si="0"/>
        <v>0.4375</v>
      </c>
      <c r="B9" s="111">
        <v>7</v>
      </c>
      <c r="C9" s="112">
        <v>30.67</v>
      </c>
      <c r="D9" s="112">
        <v>30.67</v>
      </c>
      <c r="E9" s="112">
        <v>30.67</v>
      </c>
      <c r="F9" s="112">
        <v>30.67</v>
      </c>
      <c r="G9" s="112">
        <v>30.67</v>
      </c>
      <c r="H9" s="112">
        <v>30.67</v>
      </c>
      <c r="I9" s="112">
        <v>31.13</v>
      </c>
      <c r="J9" s="11" t="s">
        <v>22</v>
      </c>
    </row>
    <row r="10" ht="15.5" spans="1:10">
      <c r="A10" s="110">
        <f t="shared" si="0"/>
        <v>0.5</v>
      </c>
      <c r="B10" s="111">
        <v>8</v>
      </c>
      <c r="C10" s="112">
        <v>30.67</v>
      </c>
      <c r="D10" s="112">
        <v>30.67</v>
      </c>
      <c r="E10" s="112">
        <v>30.67</v>
      </c>
      <c r="F10" s="112">
        <v>30.67</v>
      </c>
      <c r="G10" s="112">
        <v>30.67</v>
      </c>
      <c r="H10" s="112">
        <v>30.67</v>
      </c>
      <c r="I10" s="112">
        <v>31.13</v>
      </c>
      <c r="J10" s="11" t="s">
        <v>25</v>
      </c>
    </row>
    <row r="11" ht="15.5" spans="1:10">
      <c r="A11" s="110">
        <f t="shared" si="0"/>
        <v>0.5625</v>
      </c>
      <c r="B11" s="111">
        <v>9</v>
      </c>
      <c r="C11" s="112">
        <v>30.67</v>
      </c>
      <c r="D11" s="112">
        <v>30.67</v>
      </c>
      <c r="E11" s="112">
        <v>30.67</v>
      </c>
      <c r="F11" s="112">
        <v>30.67</v>
      </c>
      <c r="G11" s="112">
        <v>30.67</v>
      </c>
      <c r="H11" s="112">
        <v>30.67</v>
      </c>
      <c r="I11" s="112">
        <v>31.13</v>
      </c>
      <c r="J11" s="11" t="s">
        <v>27</v>
      </c>
    </row>
    <row r="12" ht="15.5" spans="1:10">
      <c r="A12" s="110">
        <f t="shared" si="0"/>
        <v>0.625</v>
      </c>
      <c r="B12" s="111">
        <v>10</v>
      </c>
      <c r="C12" s="112">
        <v>30.67</v>
      </c>
      <c r="D12" s="112">
        <v>30.67</v>
      </c>
      <c r="E12" s="112">
        <v>30.67</v>
      </c>
      <c r="F12" s="112">
        <v>30.67</v>
      </c>
      <c r="G12" s="112">
        <v>30.67</v>
      </c>
      <c r="H12" s="112">
        <v>30.67</v>
      </c>
      <c r="I12" s="112">
        <v>31.13</v>
      </c>
    </row>
    <row r="13" ht="15.5" spans="1:10">
      <c r="A13" s="110">
        <f t="shared" si="0"/>
        <v>0.6875</v>
      </c>
      <c r="B13" s="111">
        <v>11</v>
      </c>
      <c r="C13" s="112">
        <v>30.67</v>
      </c>
      <c r="D13" s="112">
        <v>30.67</v>
      </c>
      <c r="E13" s="112">
        <v>30.67</v>
      </c>
      <c r="F13" s="112">
        <v>30.67</v>
      </c>
      <c r="G13" s="112">
        <v>30.67</v>
      </c>
      <c r="H13" s="112">
        <v>30.67</v>
      </c>
      <c r="I13" s="112">
        <v>31.13</v>
      </c>
    </row>
    <row r="14" ht="15.5" spans="1:10">
      <c r="A14" s="110">
        <f t="shared" si="0"/>
        <v>0.75</v>
      </c>
      <c r="B14" s="111">
        <v>12</v>
      </c>
      <c r="C14" s="112">
        <v>30.67</v>
      </c>
      <c r="D14" s="112">
        <v>30.67</v>
      </c>
      <c r="E14" s="112">
        <v>30.67</v>
      </c>
      <c r="F14" s="112">
        <v>30.67</v>
      </c>
      <c r="G14" s="112">
        <v>30.67</v>
      </c>
      <c r="H14" s="112">
        <v>30.67</v>
      </c>
      <c r="I14" s="112">
        <v>31.13</v>
      </c>
    </row>
    <row r="15" ht="15.5" spans="1:10">
      <c r="A15" s="110">
        <f t="shared" si="0"/>
        <v>0.8125</v>
      </c>
      <c r="B15" s="111">
        <v>13</v>
      </c>
      <c r="C15" s="112">
        <v>30.67</v>
      </c>
      <c r="D15" s="112">
        <v>30.67</v>
      </c>
      <c r="E15" s="112">
        <v>30.67</v>
      </c>
      <c r="F15" s="112">
        <v>30.67</v>
      </c>
      <c r="G15" s="112">
        <v>30.67</v>
      </c>
      <c r="H15" s="112">
        <v>30.67</v>
      </c>
      <c r="I15" s="112">
        <v>31.13</v>
      </c>
    </row>
    <row r="16" ht="15.5" spans="1:10">
      <c r="A16" s="110">
        <f t="shared" si="0"/>
        <v>0.875</v>
      </c>
      <c r="B16" s="111">
        <v>14</v>
      </c>
      <c r="C16" s="112">
        <v>30.67</v>
      </c>
      <c r="D16" s="112">
        <v>30.67</v>
      </c>
      <c r="E16" s="112">
        <v>30.67</v>
      </c>
      <c r="F16" s="112">
        <v>30.67</v>
      </c>
      <c r="G16" s="112">
        <v>30.67</v>
      </c>
      <c r="H16" s="112">
        <v>30.67</v>
      </c>
      <c r="I16" s="112">
        <v>31.13</v>
      </c>
    </row>
    <row r="17" ht="15.5" spans="1:9">
      <c r="A17" s="110">
        <f t="shared" si="0"/>
        <v>0.9375</v>
      </c>
      <c r="B17" s="111">
        <v>15</v>
      </c>
      <c r="C17" s="112">
        <v>30.67</v>
      </c>
      <c r="D17" s="112">
        <v>30.67</v>
      </c>
      <c r="E17" s="112">
        <v>30.67</v>
      </c>
      <c r="F17" s="112">
        <v>30.67</v>
      </c>
      <c r="G17" s="112">
        <v>30.67</v>
      </c>
      <c r="H17" s="112">
        <v>30.67</v>
      </c>
      <c r="I17" s="112">
        <v>31.13</v>
      </c>
    </row>
    <row r="18" ht="15.5" spans="1:9">
      <c r="A18" s="111">
        <v>1</v>
      </c>
      <c r="B18" s="111">
        <f t="shared" ref="B18:B81" si="1">A18*16</f>
        <v>16</v>
      </c>
      <c r="C18" s="112">
        <v>30.67</v>
      </c>
      <c r="D18" s="112">
        <v>30.67</v>
      </c>
      <c r="E18" s="112">
        <v>30.67</v>
      </c>
      <c r="F18" s="112">
        <v>30.67</v>
      </c>
      <c r="G18" s="112">
        <v>30.67</v>
      </c>
      <c r="H18" s="112">
        <v>30.67</v>
      </c>
      <c r="I18" s="112">
        <v>31.13</v>
      </c>
    </row>
    <row r="19" ht="15.5" spans="1:9">
      <c r="A19" s="111">
        <v>2</v>
      </c>
      <c r="B19" s="110">
        <f t="shared" si="1"/>
        <v>32</v>
      </c>
      <c r="C19" s="112">
        <v>30.67</v>
      </c>
      <c r="D19" s="112">
        <v>30.67</v>
      </c>
      <c r="E19" s="112">
        <v>30.67</v>
      </c>
      <c r="F19" s="112">
        <v>30.67</v>
      </c>
      <c r="G19" s="112">
        <v>30.67</v>
      </c>
      <c r="H19" s="112">
        <v>32.27</v>
      </c>
      <c r="I19" s="112">
        <v>35.46</v>
      </c>
    </row>
    <row r="20" ht="15.5" spans="1:9">
      <c r="A20" s="111">
        <v>3</v>
      </c>
      <c r="B20" s="110">
        <f t="shared" si="1"/>
        <v>48</v>
      </c>
      <c r="C20" s="112">
        <v>30.67</v>
      </c>
      <c r="D20" s="112">
        <v>30.67</v>
      </c>
      <c r="E20" s="112">
        <v>30.67</v>
      </c>
      <c r="F20" s="112">
        <v>31.75</v>
      </c>
      <c r="G20" s="112">
        <v>34.21</v>
      </c>
      <c r="H20" s="112">
        <v>37.54</v>
      </c>
      <c r="I20" s="112">
        <v>38.77</v>
      </c>
    </row>
    <row r="21" ht="15.5" spans="1:9">
      <c r="A21" s="111">
        <v>4</v>
      </c>
      <c r="B21" s="110">
        <f t="shared" si="1"/>
        <v>64</v>
      </c>
      <c r="C21" s="112">
        <v>30.67</v>
      </c>
      <c r="D21" s="112">
        <v>30.67</v>
      </c>
      <c r="E21" s="112">
        <v>31.64</v>
      </c>
      <c r="F21" s="112">
        <v>34.76</v>
      </c>
      <c r="G21" s="112">
        <v>36.1</v>
      </c>
      <c r="H21" s="112">
        <v>40.78</v>
      </c>
      <c r="I21" s="112">
        <v>42.19</v>
      </c>
    </row>
    <row r="22" ht="15.5" spans="1:9">
      <c r="A22" s="111">
        <v>5</v>
      </c>
      <c r="B22" s="110">
        <f t="shared" si="1"/>
        <v>80</v>
      </c>
      <c r="C22" s="112">
        <v>30.67</v>
      </c>
      <c r="D22" s="112">
        <v>30.67</v>
      </c>
      <c r="E22" s="112">
        <v>32.31</v>
      </c>
      <c r="F22" s="112">
        <v>35.09</v>
      </c>
      <c r="G22" s="112">
        <v>36.44</v>
      </c>
      <c r="H22" s="112">
        <v>41.3</v>
      </c>
      <c r="I22" s="112">
        <v>42.38</v>
      </c>
    </row>
    <row r="23" ht="15.5" spans="1:9">
      <c r="A23" s="111">
        <v>6</v>
      </c>
      <c r="B23" s="110">
        <f t="shared" si="1"/>
        <v>96</v>
      </c>
      <c r="C23" s="112">
        <v>30.67</v>
      </c>
      <c r="D23" s="112">
        <v>30.67</v>
      </c>
      <c r="E23" s="112">
        <v>35.99</v>
      </c>
      <c r="F23" s="112">
        <v>40.46</v>
      </c>
      <c r="G23" s="112">
        <v>42.59</v>
      </c>
      <c r="H23" s="112">
        <v>46.97</v>
      </c>
      <c r="I23" s="112">
        <v>48.74</v>
      </c>
    </row>
    <row r="24" ht="15.5" spans="1:9">
      <c r="A24" s="111">
        <v>7</v>
      </c>
      <c r="B24" s="110">
        <f t="shared" si="1"/>
        <v>112</v>
      </c>
      <c r="C24" s="112">
        <v>30.67</v>
      </c>
      <c r="D24" s="112">
        <v>30.67</v>
      </c>
      <c r="E24" s="112">
        <v>37.6</v>
      </c>
      <c r="F24" s="112">
        <v>42.65</v>
      </c>
      <c r="G24" s="112">
        <v>44.33</v>
      </c>
      <c r="H24" s="112">
        <v>49.02</v>
      </c>
      <c r="I24" s="112">
        <v>52.19</v>
      </c>
    </row>
    <row r="25" ht="15.5" spans="1:9">
      <c r="A25" s="111">
        <v>8</v>
      </c>
      <c r="B25" s="110">
        <f t="shared" si="1"/>
        <v>128</v>
      </c>
      <c r="C25" s="112">
        <v>30.67</v>
      </c>
      <c r="D25" s="112">
        <v>30.67</v>
      </c>
      <c r="E25" s="112">
        <v>39.03</v>
      </c>
      <c r="F25" s="112">
        <v>44.29</v>
      </c>
      <c r="G25" s="112">
        <v>46.43</v>
      </c>
      <c r="H25" s="112">
        <v>51.92</v>
      </c>
      <c r="I25" s="112">
        <v>53.81</v>
      </c>
    </row>
    <row r="26" ht="15.5" spans="1:9">
      <c r="A26" s="111">
        <v>9</v>
      </c>
      <c r="B26" s="110">
        <f t="shared" si="1"/>
        <v>144</v>
      </c>
      <c r="C26" s="112">
        <v>30.67</v>
      </c>
      <c r="D26" s="112">
        <v>30.67</v>
      </c>
      <c r="E26" s="112">
        <v>40.64</v>
      </c>
      <c r="F26" s="112">
        <v>44.46</v>
      </c>
      <c r="G26" s="112">
        <v>46.64</v>
      </c>
      <c r="H26" s="112">
        <v>52.22</v>
      </c>
      <c r="I26" s="112">
        <v>53.99</v>
      </c>
    </row>
    <row r="27" ht="15.5" spans="1:9">
      <c r="A27" s="111">
        <v>10</v>
      </c>
      <c r="B27" s="110">
        <f t="shared" si="1"/>
        <v>160</v>
      </c>
      <c r="C27" s="112">
        <v>30.67</v>
      </c>
      <c r="D27" s="112">
        <v>30.67</v>
      </c>
      <c r="E27" s="112">
        <v>41.09</v>
      </c>
      <c r="F27" s="112">
        <v>44.85</v>
      </c>
      <c r="G27" s="112">
        <v>47.29</v>
      </c>
      <c r="H27" s="112">
        <v>52.72</v>
      </c>
      <c r="I27" s="112">
        <v>54.45</v>
      </c>
    </row>
    <row r="28" ht="15.5" spans="1:9">
      <c r="A28" s="111">
        <v>11</v>
      </c>
      <c r="B28" s="110">
        <f t="shared" si="1"/>
        <v>176</v>
      </c>
      <c r="C28" s="112">
        <v>30.67</v>
      </c>
      <c r="D28" s="112">
        <v>30.67</v>
      </c>
      <c r="E28" s="112">
        <v>50.34</v>
      </c>
      <c r="F28" s="112">
        <v>57.17</v>
      </c>
      <c r="G28" s="112">
        <v>60.22</v>
      </c>
      <c r="H28" s="112">
        <v>63.1</v>
      </c>
      <c r="I28" s="112">
        <v>64.18</v>
      </c>
    </row>
    <row r="29" ht="15.5" spans="1:9">
      <c r="A29" s="111">
        <v>12</v>
      </c>
      <c r="B29" s="110">
        <f t="shared" si="1"/>
        <v>192</v>
      </c>
      <c r="C29" s="112">
        <v>30.67</v>
      </c>
      <c r="D29" s="112">
        <v>30.67</v>
      </c>
      <c r="E29" s="112">
        <v>51.48</v>
      </c>
      <c r="F29" s="112">
        <v>60.08</v>
      </c>
      <c r="G29" s="112">
        <v>63.07</v>
      </c>
      <c r="H29" s="112">
        <v>64.42</v>
      </c>
      <c r="I29" s="112">
        <v>65.53</v>
      </c>
    </row>
    <row r="30" ht="15.5" spans="1:9">
      <c r="A30" s="111">
        <v>13</v>
      </c>
      <c r="B30" s="110">
        <f t="shared" si="1"/>
        <v>208</v>
      </c>
      <c r="C30" s="112">
        <v>30.67</v>
      </c>
      <c r="D30" s="112">
        <v>30.67</v>
      </c>
      <c r="E30" s="112">
        <v>52.49</v>
      </c>
      <c r="F30" s="112">
        <v>62.03</v>
      </c>
      <c r="G30" s="112">
        <v>63.34</v>
      </c>
      <c r="H30" s="112">
        <v>70.13</v>
      </c>
      <c r="I30" s="112">
        <v>71.35</v>
      </c>
    </row>
    <row r="31" ht="15.5" spans="1:9">
      <c r="A31" s="111">
        <v>14</v>
      </c>
      <c r="B31" s="110">
        <f t="shared" si="1"/>
        <v>224</v>
      </c>
      <c r="C31" s="112">
        <v>30.67</v>
      </c>
      <c r="D31" s="112">
        <v>30.81</v>
      </c>
      <c r="E31" s="112">
        <v>54.78</v>
      </c>
      <c r="F31" s="112">
        <v>62.17</v>
      </c>
      <c r="G31" s="112">
        <v>63.42</v>
      </c>
      <c r="H31" s="112">
        <v>70.82</v>
      </c>
      <c r="I31" s="112">
        <v>72.05</v>
      </c>
    </row>
    <row r="32" ht="15.5" spans="1:9">
      <c r="A32" s="111">
        <v>15</v>
      </c>
      <c r="B32" s="110">
        <f t="shared" si="1"/>
        <v>240</v>
      </c>
      <c r="C32" s="112">
        <v>30.67</v>
      </c>
      <c r="D32" s="112">
        <v>30.98</v>
      </c>
      <c r="E32" s="112">
        <v>55.58</v>
      </c>
      <c r="F32" s="112">
        <v>62.56</v>
      </c>
      <c r="G32" s="112">
        <v>63.83</v>
      </c>
      <c r="H32" s="112">
        <v>71.19</v>
      </c>
      <c r="I32" s="112">
        <v>72.41</v>
      </c>
    </row>
    <row r="33" ht="15.5" spans="1:9">
      <c r="A33" s="111">
        <v>16</v>
      </c>
      <c r="B33" s="110">
        <f t="shared" si="1"/>
        <v>256</v>
      </c>
      <c r="C33" s="112">
        <v>30.67</v>
      </c>
      <c r="D33" s="112">
        <v>34.7</v>
      </c>
      <c r="E33" s="112">
        <v>59.66</v>
      </c>
      <c r="F33" s="112">
        <v>69.92</v>
      </c>
      <c r="G33" s="112">
        <v>71.75</v>
      </c>
      <c r="H33" s="112">
        <v>78.39</v>
      </c>
      <c r="I33" s="112">
        <v>79.74</v>
      </c>
    </row>
    <row r="34" ht="15.5" spans="1:9">
      <c r="A34" s="111">
        <v>17</v>
      </c>
      <c r="B34" s="110">
        <f t="shared" si="1"/>
        <v>272</v>
      </c>
      <c r="C34" s="112">
        <v>30.67</v>
      </c>
      <c r="D34" s="112">
        <v>35.06</v>
      </c>
      <c r="E34" s="112">
        <v>62.98</v>
      </c>
      <c r="F34" s="112">
        <v>70.94</v>
      </c>
      <c r="G34" s="112">
        <v>72.58</v>
      </c>
      <c r="H34" s="112">
        <v>79.12</v>
      </c>
      <c r="I34" s="112">
        <v>80.49</v>
      </c>
    </row>
    <row r="35" ht="15.5" spans="1:9">
      <c r="A35" s="111">
        <v>18</v>
      </c>
      <c r="B35" s="110">
        <f t="shared" si="1"/>
        <v>288</v>
      </c>
      <c r="C35" s="112">
        <v>30.67</v>
      </c>
      <c r="D35" s="112">
        <v>35.26</v>
      </c>
      <c r="E35" s="112">
        <v>63.36</v>
      </c>
      <c r="F35" s="112">
        <v>71.01</v>
      </c>
      <c r="G35" s="112">
        <v>72.67</v>
      </c>
      <c r="H35" s="112">
        <v>79.19</v>
      </c>
      <c r="I35" s="112">
        <v>80.55</v>
      </c>
    </row>
    <row r="36" ht="15.5" spans="1:9">
      <c r="A36" s="111">
        <v>19</v>
      </c>
      <c r="B36" s="110">
        <f t="shared" si="1"/>
        <v>304</v>
      </c>
      <c r="C36" s="112">
        <v>30.67</v>
      </c>
      <c r="D36" s="112">
        <v>35.33</v>
      </c>
      <c r="E36" s="112">
        <v>63.44</v>
      </c>
      <c r="F36" s="112">
        <v>71.06</v>
      </c>
      <c r="G36" s="112">
        <v>72.74</v>
      </c>
      <c r="H36" s="112">
        <v>79.27</v>
      </c>
      <c r="I36" s="112">
        <v>80.64</v>
      </c>
    </row>
    <row r="37" ht="15.5" spans="1:9">
      <c r="A37" s="111">
        <v>20</v>
      </c>
      <c r="B37" s="110">
        <f t="shared" si="1"/>
        <v>320</v>
      </c>
      <c r="C37" s="112">
        <v>30.67</v>
      </c>
      <c r="D37" s="112">
        <v>35.49</v>
      </c>
      <c r="E37" s="112">
        <v>63.45</v>
      </c>
      <c r="F37" s="112">
        <v>71.44</v>
      </c>
      <c r="G37" s="112">
        <v>72.95</v>
      </c>
      <c r="H37" s="112">
        <v>79.5</v>
      </c>
      <c r="I37" s="112">
        <v>80.7</v>
      </c>
    </row>
    <row r="38" ht="15.5" spans="1:9">
      <c r="A38" s="111">
        <v>21</v>
      </c>
      <c r="B38" s="110">
        <f t="shared" si="1"/>
        <v>336</v>
      </c>
      <c r="C38" s="112">
        <v>30.67</v>
      </c>
      <c r="D38" s="112">
        <v>37.11</v>
      </c>
      <c r="E38" s="112">
        <v>69.05</v>
      </c>
      <c r="F38" s="112">
        <v>73.53</v>
      </c>
      <c r="G38" s="112">
        <v>77.42</v>
      </c>
      <c r="H38" s="112">
        <v>83.88</v>
      </c>
      <c r="I38" s="112">
        <v>88.64</v>
      </c>
    </row>
    <row r="39" ht="15.5" spans="1:9">
      <c r="A39" s="111">
        <v>22</v>
      </c>
      <c r="B39" s="110">
        <f t="shared" si="1"/>
        <v>352</v>
      </c>
      <c r="C39" s="112">
        <v>30.67</v>
      </c>
      <c r="D39" s="112">
        <v>39.16</v>
      </c>
      <c r="E39" s="112">
        <v>71.12</v>
      </c>
      <c r="F39" s="112">
        <v>76.34</v>
      </c>
      <c r="G39" s="112">
        <v>77.96</v>
      </c>
      <c r="H39" s="112">
        <v>88.2</v>
      </c>
      <c r="I39" s="112">
        <v>92</v>
      </c>
    </row>
    <row r="40" ht="15.5" spans="1:9">
      <c r="A40" s="111">
        <v>23</v>
      </c>
      <c r="B40" s="110">
        <f t="shared" si="1"/>
        <v>368</v>
      </c>
      <c r="C40" s="112">
        <v>30.67</v>
      </c>
      <c r="D40" s="112">
        <v>39.37</v>
      </c>
      <c r="E40" s="112">
        <v>73.24</v>
      </c>
      <c r="F40" s="112">
        <v>79.72</v>
      </c>
      <c r="G40" s="112">
        <v>84.25</v>
      </c>
      <c r="H40" s="112">
        <v>93.02</v>
      </c>
      <c r="I40" s="112">
        <v>94.62</v>
      </c>
    </row>
    <row r="41" ht="15.5" spans="1:9">
      <c r="A41" s="111">
        <v>24</v>
      </c>
      <c r="B41" s="110">
        <f t="shared" si="1"/>
        <v>384</v>
      </c>
      <c r="C41" s="112">
        <v>30.67</v>
      </c>
      <c r="D41" s="112">
        <v>39.54</v>
      </c>
      <c r="E41" s="112">
        <v>74.29</v>
      </c>
      <c r="F41" s="112">
        <v>82.93</v>
      </c>
      <c r="G41" s="112">
        <v>84.89</v>
      </c>
      <c r="H41" s="112">
        <v>94.77</v>
      </c>
      <c r="I41" s="112">
        <v>96.53</v>
      </c>
    </row>
    <row r="42" ht="15.5" spans="1:9">
      <c r="A42" s="111">
        <v>25</v>
      </c>
      <c r="B42" s="110">
        <f t="shared" si="1"/>
        <v>400</v>
      </c>
      <c r="C42" s="112">
        <v>30.67</v>
      </c>
      <c r="D42" s="112">
        <v>39.7</v>
      </c>
      <c r="E42" s="112">
        <v>76.83</v>
      </c>
      <c r="F42" s="112">
        <v>83.25</v>
      </c>
      <c r="G42" s="112">
        <v>86.54</v>
      </c>
      <c r="H42" s="112">
        <v>95.16</v>
      </c>
      <c r="I42" s="112">
        <v>96.77</v>
      </c>
    </row>
    <row r="43" ht="15.5" spans="1:9">
      <c r="A43" s="111">
        <v>26</v>
      </c>
      <c r="B43" s="110">
        <f t="shared" si="1"/>
        <v>416</v>
      </c>
      <c r="C43" s="112">
        <v>30.67</v>
      </c>
      <c r="D43" s="112">
        <v>42.85</v>
      </c>
      <c r="E43" s="112">
        <v>81.27</v>
      </c>
      <c r="F43" s="112">
        <v>89.01</v>
      </c>
      <c r="G43" s="112">
        <v>93.39</v>
      </c>
      <c r="H43" s="112">
        <v>97.52</v>
      </c>
      <c r="I43" s="112">
        <v>101.59</v>
      </c>
    </row>
    <row r="44" ht="15.5" spans="1:9">
      <c r="A44" s="111">
        <v>27</v>
      </c>
      <c r="B44" s="110">
        <f t="shared" si="1"/>
        <v>432</v>
      </c>
      <c r="C44" s="112">
        <v>30.67</v>
      </c>
      <c r="D44" s="112">
        <v>43.17</v>
      </c>
      <c r="E44" s="112">
        <v>83.13</v>
      </c>
      <c r="F44" s="112">
        <v>89.41</v>
      </c>
      <c r="G44" s="112">
        <v>95.42</v>
      </c>
      <c r="H44" s="112">
        <v>99.9</v>
      </c>
      <c r="I44" s="112">
        <v>106.14</v>
      </c>
    </row>
    <row r="45" ht="15.5" spans="1:9">
      <c r="A45" s="111">
        <v>28</v>
      </c>
      <c r="B45" s="110">
        <f t="shared" si="1"/>
        <v>448</v>
      </c>
      <c r="C45" s="112">
        <v>30.67</v>
      </c>
      <c r="D45" s="112">
        <v>43.32</v>
      </c>
      <c r="E45" s="112">
        <v>85.36</v>
      </c>
      <c r="F45" s="112">
        <v>92.04</v>
      </c>
      <c r="G45" s="112">
        <v>95.81</v>
      </c>
      <c r="H45" s="112">
        <v>102.13</v>
      </c>
      <c r="I45" s="112">
        <v>108.77</v>
      </c>
    </row>
    <row r="46" ht="15.5" spans="1:9">
      <c r="A46" s="111">
        <v>29</v>
      </c>
      <c r="B46" s="110">
        <f t="shared" si="1"/>
        <v>464</v>
      </c>
      <c r="C46" s="112">
        <v>30.67</v>
      </c>
      <c r="D46" s="112">
        <v>43.54</v>
      </c>
      <c r="E46" s="112">
        <v>87.3</v>
      </c>
      <c r="F46" s="112">
        <v>92.3</v>
      </c>
      <c r="G46" s="112">
        <v>96.01</v>
      </c>
      <c r="H46" s="112">
        <v>104.72</v>
      </c>
      <c r="I46" s="112">
        <v>109.34</v>
      </c>
    </row>
    <row r="47" ht="15.5" spans="1:9">
      <c r="A47" s="111">
        <v>30</v>
      </c>
      <c r="B47" s="110">
        <f t="shared" si="1"/>
        <v>480</v>
      </c>
      <c r="C47" s="112">
        <v>30.67</v>
      </c>
      <c r="D47" s="112">
        <v>43.62</v>
      </c>
      <c r="E47" s="112">
        <v>87.51</v>
      </c>
      <c r="F47" s="112">
        <v>93.11</v>
      </c>
      <c r="G47" s="112">
        <v>96.32</v>
      </c>
      <c r="H47" s="112">
        <v>105.18</v>
      </c>
      <c r="I47" s="112">
        <v>109.36</v>
      </c>
    </row>
    <row r="48" ht="15.5" spans="1:9">
      <c r="A48" s="111">
        <v>31</v>
      </c>
      <c r="B48" s="110">
        <f t="shared" si="1"/>
        <v>496</v>
      </c>
      <c r="C48" s="112">
        <v>31.86</v>
      </c>
      <c r="D48" s="112">
        <v>44.85</v>
      </c>
      <c r="E48" s="112">
        <v>91.22</v>
      </c>
      <c r="F48" s="112">
        <v>97.27</v>
      </c>
      <c r="G48" s="112">
        <v>104.31</v>
      </c>
      <c r="H48" s="112">
        <v>109.12</v>
      </c>
      <c r="I48" s="112">
        <v>113.6</v>
      </c>
    </row>
    <row r="49" ht="15.5" spans="1:9">
      <c r="A49" s="111">
        <v>32</v>
      </c>
      <c r="B49" s="110">
        <f t="shared" si="1"/>
        <v>512</v>
      </c>
      <c r="C49" s="112">
        <v>32.71</v>
      </c>
      <c r="D49" s="112">
        <v>45.91</v>
      </c>
      <c r="E49" s="112">
        <v>93.15</v>
      </c>
      <c r="F49" s="112">
        <v>97.85</v>
      </c>
      <c r="G49" s="112">
        <v>105.34</v>
      </c>
      <c r="H49" s="112">
        <v>109.66</v>
      </c>
      <c r="I49" s="112">
        <v>114.86</v>
      </c>
    </row>
    <row r="50" ht="15.5" spans="1:9">
      <c r="A50" s="111">
        <v>33</v>
      </c>
      <c r="B50" s="110">
        <f t="shared" si="1"/>
        <v>528</v>
      </c>
      <c r="C50" s="112">
        <v>33.49</v>
      </c>
      <c r="D50" s="112">
        <v>48.51</v>
      </c>
      <c r="E50" s="112">
        <v>94.85</v>
      </c>
      <c r="F50" s="112">
        <v>103.73</v>
      </c>
      <c r="G50" s="112">
        <v>107.35</v>
      </c>
      <c r="H50" s="112">
        <v>115.72</v>
      </c>
      <c r="I50" s="112">
        <v>119.87</v>
      </c>
    </row>
    <row r="51" ht="15.5" spans="1:9">
      <c r="A51" s="111">
        <v>34</v>
      </c>
      <c r="B51" s="110">
        <f t="shared" si="1"/>
        <v>544</v>
      </c>
      <c r="C51" s="112">
        <v>34.21</v>
      </c>
      <c r="D51" s="112">
        <v>48.76</v>
      </c>
      <c r="E51" s="112">
        <v>96.69</v>
      </c>
      <c r="F51" s="112">
        <v>104.88</v>
      </c>
      <c r="G51" s="112">
        <v>107.54</v>
      </c>
      <c r="H51" s="112">
        <v>118.54</v>
      </c>
      <c r="I51" s="112">
        <v>120.58</v>
      </c>
    </row>
    <row r="52" ht="15.5" spans="1:9">
      <c r="A52" s="111">
        <v>35</v>
      </c>
      <c r="B52" s="110">
        <f t="shared" si="1"/>
        <v>560</v>
      </c>
      <c r="C52" s="112">
        <v>34.94</v>
      </c>
      <c r="D52" s="112">
        <v>48.91</v>
      </c>
      <c r="E52" s="112">
        <v>97.07</v>
      </c>
      <c r="F52" s="112">
        <v>105</v>
      </c>
      <c r="G52" s="112">
        <v>107.73</v>
      </c>
      <c r="H52" s="112">
        <v>119.65</v>
      </c>
      <c r="I52" s="112">
        <v>121.72</v>
      </c>
    </row>
    <row r="53" ht="15.5" spans="1:9">
      <c r="A53" s="111">
        <v>36</v>
      </c>
      <c r="B53" s="110">
        <f t="shared" si="1"/>
        <v>576</v>
      </c>
      <c r="C53" s="112">
        <v>36.4</v>
      </c>
      <c r="D53" s="112">
        <v>49.87</v>
      </c>
      <c r="E53" s="112">
        <v>101.18</v>
      </c>
      <c r="F53" s="112">
        <v>107.11</v>
      </c>
      <c r="G53" s="112">
        <v>111.51</v>
      </c>
      <c r="H53" s="112">
        <v>121.15</v>
      </c>
      <c r="I53" s="112">
        <v>124.29</v>
      </c>
    </row>
    <row r="54" ht="15.5" spans="1:9">
      <c r="A54" s="111">
        <v>37</v>
      </c>
      <c r="B54" s="110">
        <f t="shared" si="1"/>
        <v>592</v>
      </c>
      <c r="C54" s="112">
        <v>36.64</v>
      </c>
      <c r="D54" s="112">
        <v>53.2</v>
      </c>
      <c r="E54" s="112">
        <v>103.73</v>
      </c>
      <c r="F54" s="112">
        <v>113.76</v>
      </c>
      <c r="G54" s="112">
        <v>116.91</v>
      </c>
      <c r="H54" s="112">
        <v>125.42</v>
      </c>
      <c r="I54" s="112">
        <v>128.51</v>
      </c>
    </row>
    <row r="55" ht="15.5" spans="1:9">
      <c r="A55" s="111">
        <v>38</v>
      </c>
      <c r="B55" s="110">
        <f t="shared" si="1"/>
        <v>608</v>
      </c>
      <c r="C55" s="112">
        <v>36.76</v>
      </c>
      <c r="D55" s="112">
        <v>53.55</v>
      </c>
      <c r="E55" s="112">
        <v>105.17</v>
      </c>
      <c r="F55" s="112">
        <v>114.2</v>
      </c>
      <c r="G55" s="112">
        <v>118.81</v>
      </c>
      <c r="H55" s="112">
        <v>125.81</v>
      </c>
      <c r="I55" s="112">
        <v>128.94</v>
      </c>
    </row>
    <row r="56" ht="15.5" spans="1:9">
      <c r="A56" s="111">
        <v>39</v>
      </c>
      <c r="B56" s="110">
        <f t="shared" si="1"/>
        <v>624</v>
      </c>
      <c r="C56" s="112">
        <v>36.91</v>
      </c>
      <c r="D56" s="112">
        <v>53.69</v>
      </c>
      <c r="E56" s="112">
        <v>106.99</v>
      </c>
      <c r="F56" s="112">
        <v>114.26</v>
      </c>
      <c r="G56" s="112">
        <v>119</v>
      </c>
      <c r="H56" s="112">
        <v>128.98</v>
      </c>
      <c r="I56" s="112">
        <v>131.22</v>
      </c>
    </row>
    <row r="57" ht="15.5" spans="1:9">
      <c r="A57" s="111">
        <v>40</v>
      </c>
      <c r="B57" s="110">
        <f t="shared" si="1"/>
        <v>640</v>
      </c>
      <c r="C57" s="112">
        <v>37</v>
      </c>
      <c r="D57" s="112">
        <v>53.84</v>
      </c>
      <c r="E57" s="112">
        <v>107.16</v>
      </c>
      <c r="F57" s="112">
        <v>114.63</v>
      </c>
      <c r="G57" s="112">
        <v>119.34</v>
      </c>
      <c r="H57" s="112">
        <v>129.3</v>
      </c>
      <c r="I57" s="112">
        <v>131.52</v>
      </c>
    </row>
    <row r="58" ht="15.5" spans="1:9">
      <c r="A58" s="111">
        <v>41</v>
      </c>
      <c r="B58" s="110">
        <f t="shared" si="1"/>
        <v>656</v>
      </c>
      <c r="C58" s="112">
        <v>38.64</v>
      </c>
      <c r="D58" s="112">
        <v>56.39</v>
      </c>
      <c r="E58" s="112">
        <v>110.89</v>
      </c>
      <c r="F58" s="112">
        <v>117.92</v>
      </c>
      <c r="G58" s="112">
        <v>125.94</v>
      </c>
      <c r="H58" s="112">
        <v>131.14</v>
      </c>
      <c r="I58" s="112">
        <v>137.23</v>
      </c>
    </row>
    <row r="59" ht="15.5" spans="1:9">
      <c r="A59" s="111">
        <v>42</v>
      </c>
      <c r="B59" s="110">
        <f t="shared" si="1"/>
        <v>672</v>
      </c>
      <c r="C59" s="112">
        <v>39.2</v>
      </c>
      <c r="D59" s="112">
        <v>56.65</v>
      </c>
      <c r="E59" s="112">
        <v>112.31</v>
      </c>
      <c r="F59" s="112">
        <v>119.73</v>
      </c>
      <c r="G59" s="112">
        <v>126.6</v>
      </c>
      <c r="H59" s="112">
        <v>131.63</v>
      </c>
      <c r="I59" s="112">
        <v>139.81</v>
      </c>
    </row>
    <row r="60" ht="15.5" spans="1:9">
      <c r="A60" s="111">
        <v>43</v>
      </c>
      <c r="B60" s="110">
        <f t="shared" si="1"/>
        <v>688</v>
      </c>
      <c r="C60" s="112">
        <v>40.26</v>
      </c>
      <c r="D60" s="112">
        <v>57.56</v>
      </c>
      <c r="E60" s="112">
        <v>115.18</v>
      </c>
      <c r="F60" s="112">
        <v>122.93</v>
      </c>
      <c r="G60" s="112">
        <v>128.91</v>
      </c>
      <c r="H60" s="112">
        <v>137.59</v>
      </c>
      <c r="I60" s="112">
        <v>147.57</v>
      </c>
    </row>
    <row r="61" ht="15.5" spans="1:9">
      <c r="A61" s="111">
        <v>44</v>
      </c>
      <c r="B61" s="110">
        <f t="shared" si="1"/>
        <v>704</v>
      </c>
      <c r="C61" s="112">
        <v>41.16</v>
      </c>
      <c r="D61" s="112">
        <v>60.57</v>
      </c>
      <c r="E61" s="112">
        <v>117.1</v>
      </c>
      <c r="F61" s="112">
        <v>125.67</v>
      </c>
      <c r="G61" s="112">
        <v>131.17</v>
      </c>
      <c r="H61" s="112">
        <v>139.82</v>
      </c>
      <c r="I61" s="112">
        <v>148.41</v>
      </c>
    </row>
    <row r="62" ht="15.5" spans="1:9">
      <c r="A62" s="111">
        <v>45</v>
      </c>
      <c r="B62" s="110">
        <f t="shared" si="1"/>
        <v>720</v>
      </c>
      <c r="C62" s="112">
        <v>42.86</v>
      </c>
      <c r="D62" s="112">
        <v>62.92</v>
      </c>
      <c r="E62" s="112">
        <v>118.6</v>
      </c>
      <c r="F62" s="112">
        <v>127.56</v>
      </c>
      <c r="G62" s="112">
        <v>131.4</v>
      </c>
      <c r="H62" s="112">
        <v>142.56</v>
      </c>
      <c r="I62" s="112">
        <v>148.64</v>
      </c>
    </row>
    <row r="63" ht="15.5" spans="1:9">
      <c r="A63" s="111">
        <v>46</v>
      </c>
      <c r="B63" s="110">
        <f t="shared" si="1"/>
        <v>736</v>
      </c>
      <c r="C63" s="112">
        <v>43.88</v>
      </c>
      <c r="D63" s="112">
        <v>63.17</v>
      </c>
      <c r="E63" s="112">
        <v>120.53</v>
      </c>
      <c r="F63" s="112">
        <v>130.38</v>
      </c>
      <c r="G63" s="112">
        <v>135.59</v>
      </c>
      <c r="H63" s="112">
        <v>144.18</v>
      </c>
      <c r="I63" s="112">
        <v>154.47</v>
      </c>
    </row>
    <row r="64" ht="15.5" spans="1:9">
      <c r="A64" s="111">
        <v>47</v>
      </c>
      <c r="B64" s="110">
        <f t="shared" si="1"/>
        <v>752</v>
      </c>
      <c r="C64" s="112">
        <v>44.51</v>
      </c>
      <c r="D64" s="112">
        <v>64.1</v>
      </c>
      <c r="E64" s="112">
        <v>120.74</v>
      </c>
      <c r="F64" s="112">
        <v>130.88</v>
      </c>
      <c r="G64" s="112">
        <v>136.51</v>
      </c>
      <c r="H64" s="112">
        <v>144.6</v>
      </c>
      <c r="I64" s="112">
        <v>155.28</v>
      </c>
    </row>
    <row r="65" ht="15.5" spans="1:9">
      <c r="A65" s="111">
        <v>48</v>
      </c>
      <c r="B65" s="110">
        <f t="shared" si="1"/>
        <v>768</v>
      </c>
      <c r="C65" s="112">
        <v>45.01</v>
      </c>
      <c r="D65" s="112">
        <v>64.22</v>
      </c>
      <c r="E65" s="112">
        <v>121.03</v>
      </c>
      <c r="F65" s="112">
        <v>132.37</v>
      </c>
      <c r="G65" s="112">
        <v>136.65</v>
      </c>
      <c r="H65" s="112">
        <v>147.23</v>
      </c>
      <c r="I65" s="112">
        <v>155.48</v>
      </c>
    </row>
    <row r="66" ht="15.5" spans="1:9">
      <c r="A66" s="111">
        <v>49</v>
      </c>
      <c r="B66" s="110">
        <f t="shared" si="1"/>
        <v>784</v>
      </c>
      <c r="C66" s="112">
        <v>45.04</v>
      </c>
      <c r="D66" s="112">
        <v>64.3</v>
      </c>
      <c r="E66" s="112">
        <v>121.05</v>
      </c>
      <c r="F66" s="112">
        <v>132.39</v>
      </c>
      <c r="G66" s="112">
        <v>136.71</v>
      </c>
      <c r="H66" s="112">
        <v>147.31</v>
      </c>
      <c r="I66" s="112">
        <v>155.57</v>
      </c>
    </row>
    <row r="67" ht="15.5" spans="1:9">
      <c r="A67" s="111">
        <v>50</v>
      </c>
      <c r="B67" s="110">
        <f t="shared" si="1"/>
        <v>800</v>
      </c>
      <c r="C67" s="112">
        <v>45.05</v>
      </c>
      <c r="D67" s="112">
        <v>64.67</v>
      </c>
      <c r="E67" s="112">
        <v>121.16</v>
      </c>
      <c r="F67" s="112">
        <v>132.57</v>
      </c>
      <c r="G67" s="112">
        <v>137.27</v>
      </c>
      <c r="H67" s="112">
        <v>147.62</v>
      </c>
      <c r="I67" s="112">
        <v>156.02</v>
      </c>
    </row>
    <row r="68" ht="15.5" spans="1:9">
      <c r="A68" s="111">
        <v>51</v>
      </c>
      <c r="B68" s="110">
        <f t="shared" si="1"/>
        <v>816</v>
      </c>
      <c r="C68" s="112">
        <v>49.95</v>
      </c>
      <c r="D68" s="112">
        <v>70.74</v>
      </c>
      <c r="E68" s="112">
        <v>129.21</v>
      </c>
      <c r="F68" s="112">
        <v>143.68</v>
      </c>
      <c r="G68" s="112">
        <v>146.62</v>
      </c>
      <c r="H68" s="112">
        <v>158.58</v>
      </c>
      <c r="I68" s="112">
        <v>163.36</v>
      </c>
    </row>
    <row r="69" ht="15.5" spans="1:9">
      <c r="A69" s="111">
        <v>52</v>
      </c>
      <c r="B69" s="110">
        <f t="shared" si="1"/>
        <v>832</v>
      </c>
      <c r="C69" s="112">
        <v>50.72</v>
      </c>
      <c r="D69" s="112">
        <v>74.44</v>
      </c>
      <c r="E69" s="112">
        <v>138.44</v>
      </c>
      <c r="F69" s="112">
        <v>146.49</v>
      </c>
      <c r="G69" s="112">
        <v>152</v>
      </c>
      <c r="H69" s="112">
        <v>164.78</v>
      </c>
      <c r="I69" s="112">
        <v>172.37</v>
      </c>
    </row>
    <row r="70" ht="15.5" spans="1:9">
      <c r="A70" s="111">
        <v>53</v>
      </c>
      <c r="B70" s="110">
        <f t="shared" si="1"/>
        <v>848</v>
      </c>
      <c r="C70" s="112">
        <v>51.26</v>
      </c>
      <c r="D70" s="112">
        <v>74.82</v>
      </c>
      <c r="E70" s="112">
        <v>139.37</v>
      </c>
      <c r="F70" s="112">
        <v>149.74</v>
      </c>
      <c r="G70" s="112">
        <v>152.54</v>
      </c>
      <c r="H70" s="112">
        <v>172.71</v>
      </c>
      <c r="I70" s="112">
        <v>175.92</v>
      </c>
    </row>
    <row r="71" ht="15.5" spans="1:9">
      <c r="A71" s="111">
        <v>54</v>
      </c>
      <c r="B71" s="110">
        <f t="shared" si="1"/>
        <v>864</v>
      </c>
      <c r="C71" s="112">
        <v>51.42</v>
      </c>
      <c r="D71" s="112">
        <v>74.97</v>
      </c>
      <c r="E71" s="112">
        <v>139.52</v>
      </c>
      <c r="F71" s="112">
        <v>151.16</v>
      </c>
      <c r="G71" s="112">
        <v>152.69</v>
      </c>
      <c r="H71" s="112">
        <v>173.5</v>
      </c>
      <c r="I71" s="112">
        <v>176.28</v>
      </c>
    </row>
    <row r="72" ht="15.5" spans="1:9">
      <c r="A72" s="111">
        <v>55</v>
      </c>
      <c r="B72" s="110">
        <f t="shared" si="1"/>
        <v>880</v>
      </c>
      <c r="C72" s="112">
        <v>51.61</v>
      </c>
      <c r="D72" s="112">
        <v>76.28</v>
      </c>
      <c r="E72" s="112">
        <v>140.54</v>
      </c>
      <c r="F72" s="112">
        <v>151.52</v>
      </c>
      <c r="G72" s="112">
        <v>153.06</v>
      </c>
      <c r="H72" s="112">
        <v>173.52</v>
      </c>
      <c r="I72" s="112">
        <v>176.43</v>
      </c>
    </row>
    <row r="73" ht="15.5" spans="1:9">
      <c r="A73" s="111">
        <v>56</v>
      </c>
      <c r="B73" s="110">
        <f t="shared" si="1"/>
        <v>896</v>
      </c>
      <c r="C73" s="112">
        <v>55.35</v>
      </c>
      <c r="D73" s="112">
        <v>80.54</v>
      </c>
      <c r="E73" s="112">
        <v>140.68</v>
      </c>
      <c r="F73" s="112">
        <v>154.16</v>
      </c>
      <c r="G73" s="112">
        <v>157.28</v>
      </c>
      <c r="H73" s="112">
        <v>173.53</v>
      </c>
      <c r="I73" s="112">
        <v>176.57</v>
      </c>
    </row>
    <row r="74" ht="15.5" spans="1:9">
      <c r="A74" s="111">
        <v>57</v>
      </c>
      <c r="B74" s="110">
        <f t="shared" si="1"/>
        <v>912</v>
      </c>
      <c r="C74" s="112">
        <v>55.82</v>
      </c>
      <c r="D74" s="112">
        <v>81.35</v>
      </c>
      <c r="E74" s="112">
        <v>140.95</v>
      </c>
      <c r="F74" s="112">
        <v>154.56</v>
      </c>
      <c r="G74" s="112">
        <v>157.99</v>
      </c>
      <c r="H74" s="112">
        <v>173.73</v>
      </c>
      <c r="I74" s="112">
        <v>176.72</v>
      </c>
    </row>
    <row r="75" ht="15.5" spans="1:9">
      <c r="A75" s="111">
        <v>58</v>
      </c>
      <c r="B75" s="110">
        <f t="shared" si="1"/>
        <v>928</v>
      </c>
      <c r="C75" s="112">
        <v>55.98</v>
      </c>
      <c r="D75" s="112">
        <v>81.69</v>
      </c>
      <c r="E75" s="112">
        <v>141.12</v>
      </c>
      <c r="F75" s="112">
        <v>154.72</v>
      </c>
      <c r="G75" s="112">
        <v>161.22</v>
      </c>
      <c r="H75" s="112">
        <v>174.2</v>
      </c>
      <c r="I75" s="112">
        <v>177.2</v>
      </c>
    </row>
    <row r="76" ht="15.5" spans="1:9">
      <c r="A76" s="111">
        <v>59</v>
      </c>
      <c r="B76" s="110">
        <f t="shared" si="1"/>
        <v>944</v>
      </c>
      <c r="C76" s="112">
        <v>56.15</v>
      </c>
      <c r="D76" s="112">
        <v>81.85</v>
      </c>
      <c r="E76" s="112">
        <v>144.48</v>
      </c>
      <c r="F76" s="112">
        <v>157.05</v>
      </c>
      <c r="G76" s="112">
        <v>161.55</v>
      </c>
      <c r="H76" s="112">
        <v>174.99</v>
      </c>
      <c r="I76" s="112">
        <v>186.58</v>
      </c>
    </row>
    <row r="77" ht="15.5" spans="1:9">
      <c r="A77" s="111">
        <v>60</v>
      </c>
      <c r="B77" s="110">
        <f t="shared" si="1"/>
        <v>960</v>
      </c>
      <c r="C77" s="112">
        <v>56.31</v>
      </c>
      <c r="D77" s="112">
        <v>82.01</v>
      </c>
      <c r="E77" s="112">
        <v>144.81</v>
      </c>
      <c r="F77" s="112">
        <v>157.28</v>
      </c>
      <c r="G77" s="112">
        <v>161.88</v>
      </c>
      <c r="H77" s="112">
        <v>185.46</v>
      </c>
      <c r="I77" s="112">
        <v>188.11</v>
      </c>
    </row>
    <row r="78" ht="15.5" spans="1:9">
      <c r="A78" s="111">
        <v>61</v>
      </c>
      <c r="B78" s="110">
        <f t="shared" si="1"/>
        <v>976</v>
      </c>
      <c r="C78" s="112">
        <v>58.95</v>
      </c>
      <c r="D78" s="112">
        <v>84.51</v>
      </c>
      <c r="E78" s="112">
        <v>149.92</v>
      </c>
      <c r="F78" s="112">
        <v>161.07</v>
      </c>
      <c r="G78" s="112">
        <v>167.64</v>
      </c>
      <c r="H78" s="112">
        <v>189.23</v>
      </c>
      <c r="I78" s="112">
        <v>193.39</v>
      </c>
    </row>
    <row r="79" ht="15.5" spans="1:9">
      <c r="A79" s="111">
        <v>62</v>
      </c>
      <c r="B79" s="110">
        <f t="shared" si="1"/>
        <v>992</v>
      </c>
      <c r="C79" s="112">
        <v>59.63</v>
      </c>
      <c r="D79" s="112">
        <v>87.12</v>
      </c>
      <c r="E79" s="112">
        <v>152.2</v>
      </c>
      <c r="F79" s="112">
        <v>163.07</v>
      </c>
      <c r="G79" s="112">
        <v>168.32</v>
      </c>
      <c r="H79" s="112">
        <v>191.94</v>
      </c>
      <c r="I79" s="112">
        <v>198.05</v>
      </c>
    </row>
    <row r="80" ht="15.5" spans="1:9">
      <c r="A80" s="111">
        <v>63</v>
      </c>
      <c r="B80" s="110">
        <f t="shared" si="1"/>
        <v>1008</v>
      </c>
      <c r="C80" s="112">
        <v>59.81</v>
      </c>
      <c r="D80" s="112">
        <v>87.4</v>
      </c>
      <c r="E80" s="112">
        <v>153.58</v>
      </c>
      <c r="F80" s="112">
        <v>163.3</v>
      </c>
      <c r="G80" s="112">
        <v>169.1</v>
      </c>
      <c r="H80" s="112">
        <v>194.67</v>
      </c>
      <c r="I80" s="112">
        <v>198.95</v>
      </c>
    </row>
    <row r="81" ht="15.5" spans="1:9">
      <c r="A81" s="111">
        <v>64</v>
      </c>
      <c r="B81" s="110">
        <f t="shared" si="1"/>
        <v>1024</v>
      </c>
      <c r="C81" s="112">
        <v>62.8</v>
      </c>
      <c r="D81" s="112">
        <v>90.17</v>
      </c>
      <c r="E81" s="112">
        <v>153.72</v>
      </c>
      <c r="F81" s="112">
        <v>167.89</v>
      </c>
      <c r="G81" s="112">
        <v>174.34</v>
      </c>
      <c r="H81" s="112">
        <v>198.19</v>
      </c>
      <c r="I81" s="112">
        <v>206.31</v>
      </c>
    </row>
    <row r="82" ht="15.5" spans="1:9">
      <c r="A82" s="111">
        <v>65</v>
      </c>
      <c r="B82" s="110">
        <f t="shared" ref="B82:B145" si="2">A82*16</f>
        <v>1040</v>
      </c>
      <c r="C82" s="112">
        <v>63.1</v>
      </c>
      <c r="D82" s="112">
        <v>90.76</v>
      </c>
      <c r="E82" s="112">
        <v>155.05</v>
      </c>
      <c r="F82" s="112">
        <v>169.71</v>
      </c>
      <c r="G82" s="112">
        <v>175.43</v>
      </c>
      <c r="H82" s="112">
        <v>201.26</v>
      </c>
      <c r="I82" s="112">
        <v>208.63</v>
      </c>
    </row>
    <row r="83" ht="15.5" spans="1:9">
      <c r="A83" s="111">
        <v>66</v>
      </c>
      <c r="B83" s="110">
        <f t="shared" si="2"/>
        <v>1056</v>
      </c>
      <c r="C83" s="112">
        <v>63.27</v>
      </c>
      <c r="D83" s="112">
        <v>91.02</v>
      </c>
      <c r="E83" s="112">
        <v>161.5</v>
      </c>
      <c r="F83" s="112">
        <v>175</v>
      </c>
      <c r="G83" s="112">
        <v>180.81</v>
      </c>
      <c r="H83" s="112">
        <v>201.57</v>
      </c>
      <c r="I83" s="112">
        <v>209.06</v>
      </c>
    </row>
    <row r="84" ht="15.5" spans="1:9">
      <c r="A84" s="111">
        <v>67</v>
      </c>
      <c r="B84" s="110">
        <f t="shared" si="2"/>
        <v>1072</v>
      </c>
      <c r="C84" s="112">
        <v>63.87</v>
      </c>
      <c r="D84" s="112">
        <v>95.97</v>
      </c>
      <c r="E84" s="112">
        <v>162.14</v>
      </c>
      <c r="F84" s="112">
        <v>176.72</v>
      </c>
      <c r="G84" s="112">
        <v>181.35</v>
      </c>
      <c r="H84" s="112">
        <v>201.72</v>
      </c>
      <c r="I84" s="112">
        <v>209.21</v>
      </c>
    </row>
    <row r="85" ht="15.5" spans="1:9">
      <c r="A85" s="111">
        <v>68</v>
      </c>
      <c r="B85" s="110">
        <f t="shared" si="2"/>
        <v>1088</v>
      </c>
      <c r="C85" s="112">
        <v>65.31</v>
      </c>
      <c r="D85" s="112">
        <v>96.54</v>
      </c>
      <c r="E85" s="112">
        <v>162.3</v>
      </c>
      <c r="F85" s="112">
        <v>179.01</v>
      </c>
      <c r="G85" s="112">
        <v>181.51</v>
      </c>
      <c r="H85" s="112">
        <v>201.87</v>
      </c>
      <c r="I85" s="112">
        <v>210.42</v>
      </c>
    </row>
    <row r="86" ht="15.5" spans="1:9">
      <c r="A86" s="111">
        <v>69</v>
      </c>
      <c r="B86" s="110">
        <f t="shared" si="2"/>
        <v>1104</v>
      </c>
      <c r="C86" s="112">
        <v>65.46</v>
      </c>
      <c r="D86" s="112">
        <v>96.69</v>
      </c>
      <c r="E86" s="112">
        <v>162.46</v>
      </c>
      <c r="F86" s="112">
        <v>179.48</v>
      </c>
      <c r="G86" s="112">
        <v>181.8</v>
      </c>
      <c r="H86" s="112">
        <v>202.01</v>
      </c>
      <c r="I86" s="112">
        <v>213.42</v>
      </c>
    </row>
    <row r="87" ht="15.5" spans="1:9">
      <c r="A87" s="111">
        <v>70</v>
      </c>
      <c r="B87" s="110">
        <f t="shared" si="2"/>
        <v>1120</v>
      </c>
      <c r="C87" s="112">
        <v>65.62</v>
      </c>
      <c r="D87" s="112">
        <v>96.85</v>
      </c>
      <c r="E87" s="112">
        <v>162.61</v>
      </c>
      <c r="F87" s="112">
        <v>180.12</v>
      </c>
      <c r="G87" s="112">
        <v>181.95</v>
      </c>
      <c r="H87" s="112">
        <v>202.45</v>
      </c>
      <c r="I87" s="112">
        <v>213.83</v>
      </c>
    </row>
    <row r="88" ht="15.5" spans="1:9">
      <c r="A88" s="111">
        <v>71</v>
      </c>
      <c r="B88" s="110">
        <f t="shared" si="2"/>
        <v>1136</v>
      </c>
      <c r="C88" s="112">
        <v>67.5</v>
      </c>
      <c r="D88" s="112">
        <v>97.01</v>
      </c>
      <c r="E88" s="112">
        <v>163.13</v>
      </c>
      <c r="F88" s="112">
        <v>180.44</v>
      </c>
      <c r="G88" s="112">
        <v>182.29</v>
      </c>
      <c r="H88" s="112">
        <v>210.99</v>
      </c>
      <c r="I88" s="112">
        <v>214.61</v>
      </c>
    </row>
    <row r="89" ht="15.5" spans="1:9">
      <c r="A89" s="111">
        <v>72</v>
      </c>
      <c r="B89" s="110">
        <f t="shared" si="2"/>
        <v>1152</v>
      </c>
      <c r="C89" s="112">
        <v>67.93</v>
      </c>
      <c r="D89" s="112">
        <v>99.86</v>
      </c>
      <c r="E89" s="112">
        <v>173.65</v>
      </c>
      <c r="F89" s="112">
        <v>186.5</v>
      </c>
      <c r="G89" s="112">
        <v>188.41</v>
      </c>
      <c r="H89" s="112">
        <v>220.17</v>
      </c>
      <c r="I89" s="112">
        <v>230.08</v>
      </c>
    </row>
    <row r="90" ht="15.5" spans="1:9">
      <c r="A90" s="111">
        <v>73</v>
      </c>
      <c r="B90" s="110">
        <f t="shared" si="2"/>
        <v>1168</v>
      </c>
      <c r="C90" s="112">
        <v>68.09</v>
      </c>
      <c r="D90" s="112">
        <v>101.95</v>
      </c>
      <c r="E90" s="112">
        <v>174.7</v>
      </c>
      <c r="F90" s="112">
        <v>187.11</v>
      </c>
      <c r="G90" s="112">
        <v>189.01</v>
      </c>
      <c r="H90" s="112">
        <v>221.09</v>
      </c>
      <c r="I90" s="112">
        <v>231.63</v>
      </c>
    </row>
    <row r="91" ht="15.5" spans="1:9">
      <c r="A91" s="111">
        <v>74</v>
      </c>
      <c r="B91" s="110">
        <f t="shared" si="2"/>
        <v>1184</v>
      </c>
      <c r="C91" s="112">
        <v>68.26</v>
      </c>
      <c r="D91" s="112">
        <v>102.15</v>
      </c>
      <c r="E91" s="112">
        <v>174.87</v>
      </c>
      <c r="F91" s="112">
        <v>187.26</v>
      </c>
      <c r="G91" s="112">
        <v>189.18</v>
      </c>
      <c r="H91" s="112">
        <v>221.24</v>
      </c>
      <c r="I91" s="112">
        <v>231.8</v>
      </c>
    </row>
    <row r="92" ht="15.5" spans="1:9">
      <c r="A92" s="111">
        <v>75</v>
      </c>
      <c r="B92" s="110">
        <f t="shared" si="2"/>
        <v>1200</v>
      </c>
      <c r="C92" s="112">
        <v>68.58</v>
      </c>
      <c r="D92" s="112">
        <v>102.48</v>
      </c>
      <c r="E92" s="112">
        <v>175.16</v>
      </c>
      <c r="F92" s="112">
        <v>187.57</v>
      </c>
      <c r="G92" s="112">
        <v>189.47</v>
      </c>
      <c r="H92" s="112">
        <v>221.54</v>
      </c>
      <c r="I92" s="112">
        <v>232.09</v>
      </c>
    </row>
    <row r="93" ht="15.5" spans="1:9">
      <c r="A93" s="111">
        <v>76</v>
      </c>
      <c r="B93" s="110">
        <f t="shared" si="2"/>
        <v>1216</v>
      </c>
      <c r="C93" s="112">
        <v>71.43</v>
      </c>
      <c r="D93" s="112">
        <v>105.33</v>
      </c>
      <c r="E93" s="112">
        <v>176.09</v>
      </c>
      <c r="F93" s="112">
        <v>189.16</v>
      </c>
      <c r="G93" s="112">
        <v>191.09</v>
      </c>
      <c r="H93" s="112">
        <v>227.38</v>
      </c>
      <c r="I93" s="112">
        <v>232.39</v>
      </c>
    </row>
    <row r="94" ht="15.5" spans="1:9">
      <c r="A94" s="111">
        <v>77</v>
      </c>
      <c r="B94" s="110">
        <f t="shared" si="2"/>
        <v>1232</v>
      </c>
      <c r="C94" s="112">
        <v>71.78</v>
      </c>
      <c r="D94" s="112">
        <v>108.18</v>
      </c>
      <c r="E94" s="112">
        <v>176.81</v>
      </c>
      <c r="F94" s="112">
        <v>195.22</v>
      </c>
      <c r="G94" s="112">
        <v>198.83</v>
      </c>
      <c r="H94" s="112">
        <v>227.97</v>
      </c>
      <c r="I94" s="112">
        <v>232.67</v>
      </c>
    </row>
    <row r="95" ht="15.5" spans="1:9">
      <c r="A95" s="111">
        <v>78</v>
      </c>
      <c r="B95" s="110">
        <f t="shared" si="2"/>
        <v>1248</v>
      </c>
      <c r="C95" s="112">
        <v>72.09</v>
      </c>
      <c r="D95" s="112">
        <v>108.28</v>
      </c>
      <c r="E95" s="112">
        <v>183.3</v>
      </c>
      <c r="F95" s="112">
        <v>197.83</v>
      </c>
      <c r="G95" s="112">
        <v>204.01</v>
      </c>
      <c r="H95" s="112">
        <v>230.53</v>
      </c>
      <c r="I95" s="112">
        <v>232.97</v>
      </c>
    </row>
    <row r="96" ht="15.5" spans="1:9">
      <c r="A96" s="111">
        <v>79</v>
      </c>
      <c r="B96" s="110">
        <f t="shared" si="2"/>
        <v>1264</v>
      </c>
      <c r="C96" s="112">
        <v>72.4</v>
      </c>
      <c r="D96" s="112">
        <v>108.59</v>
      </c>
      <c r="E96" s="112">
        <v>183.95</v>
      </c>
      <c r="F96" s="112">
        <v>200.79</v>
      </c>
      <c r="G96" s="112">
        <v>207.04</v>
      </c>
      <c r="H96" s="112">
        <v>234.35</v>
      </c>
      <c r="I96" s="112">
        <v>236.7</v>
      </c>
    </row>
    <row r="97" ht="15.5" spans="1:9">
      <c r="A97" s="111">
        <v>80</v>
      </c>
      <c r="B97" s="110">
        <f t="shared" si="2"/>
        <v>1280</v>
      </c>
      <c r="C97" s="112">
        <v>72.72</v>
      </c>
      <c r="D97" s="112">
        <v>108.92</v>
      </c>
      <c r="E97" s="112">
        <v>184.25</v>
      </c>
      <c r="F97" s="112">
        <v>201.42</v>
      </c>
      <c r="G97" s="112">
        <v>207.62</v>
      </c>
      <c r="H97" s="112">
        <v>235.32</v>
      </c>
      <c r="I97" s="112">
        <v>237.68</v>
      </c>
    </row>
    <row r="98" ht="15.5" spans="1:9">
      <c r="A98" s="111">
        <v>81</v>
      </c>
      <c r="B98" s="110">
        <f t="shared" si="2"/>
        <v>1296</v>
      </c>
      <c r="C98" s="112">
        <v>76.71</v>
      </c>
      <c r="D98" s="112">
        <v>110.34</v>
      </c>
      <c r="E98" s="112">
        <v>189.7</v>
      </c>
      <c r="F98" s="112">
        <v>213.76</v>
      </c>
      <c r="G98" s="112">
        <v>218.63</v>
      </c>
      <c r="H98" s="112">
        <v>241.26</v>
      </c>
      <c r="I98" s="112">
        <v>243.96</v>
      </c>
    </row>
    <row r="99" ht="15.5" spans="1:9">
      <c r="A99" s="111">
        <v>82</v>
      </c>
      <c r="B99" s="110">
        <f t="shared" si="2"/>
        <v>1312</v>
      </c>
      <c r="C99" s="112">
        <v>77.03</v>
      </c>
      <c r="D99" s="112">
        <v>110.65</v>
      </c>
      <c r="E99" s="112">
        <v>190.71</v>
      </c>
      <c r="F99" s="112">
        <v>214.99</v>
      </c>
      <c r="G99" s="112">
        <v>219.74</v>
      </c>
      <c r="H99" s="112">
        <v>241.85</v>
      </c>
      <c r="I99" s="112">
        <v>244.58</v>
      </c>
    </row>
    <row r="100" ht="15.5" spans="1:9">
      <c r="A100" s="111">
        <v>83</v>
      </c>
      <c r="B100" s="110">
        <f t="shared" si="2"/>
        <v>1328</v>
      </c>
      <c r="C100" s="112">
        <v>77.37</v>
      </c>
      <c r="D100" s="112">
        <v>110.97</v>
      </c>
      <c r="E100" s="112">
        <v>191.01</v>
      </c>
      <c r="F100" s="112">
        <v>215.3</v>
      </c>
      <c r="G100" s="112">
        <v>220.04</v>
      </c>
      <c r="H100" s="112">
        <v>242.16</v>
      </c>
      <c r="I100" s="112">
        <v>244.89</v>
      </c>
    </row>
    <row r="101" ht="15.5" spans="1:9">
      <c r="A101" s="111">
        <v>84</v>
      </c>
      <c r="B101" s="110">
        <f t="shared" si="2"/>
        <v>1344</v>
      </c>
      <c r="C101" s="112">
        <v>77.68</v>
      </c>
      <c r="D101" s="112">
        <v>111.29</v>
      </c>
      <c r="E101" s="112">
        <v>191.32</v>
      </c>
      <c r="F101" s="112">
        <v>215.61</v>
      </c>
      <c r="G101" s="112">
        <v>220.35</v>
      </c>
      <c r="H101" s="112">
        <v>247.09</v>
      </c>
      <c r="I101" s="112">
        <v>250.03</v>
      </c>
    </row>
    <row r="102" ht="15.5" spans="1:9">
      <c r="A102" s="111">
        <v>85</v>
      </c>
      <c r="B102" s="110">
        <f t="shared" si="2"/>
        <v>1360</v>
      </c>
      <c r="C102" s="112">
        <v>78</v>
      </c>
      <c r="D102" s="112">
        <v>111.62</v>
      </c>
      <c r="E102" s="112">
        <v>191.63</v>
      </c>
      <c r="F102" s="112">
        <v>215.91</v>
      </c>
      <c r="G102" s="112">
        <v>220.64</v>
      </c>
      <c r="H102" s="112">
        <v>247.1</v>
      </c>
      <c r="I102" s="112">
        <v>250.59</v>
      </c>
    </row>
    <row r="103" ht="15.5" spans="1:9">
      <c r="A103" s="111">
        <v>86</v>
      </c>
      <c r="B103" s="110">
        <f t="shared" si="2"/>
        <v>1376</v>
      </c>
      <c r="C103" s="112">
        <v>78.23</v>
      </c>
      <c r="D103" s="112">
        <v>112.32</v>
      </c>
      <c r="E103" s="112">
        <v>192.19</v>
      </c>
      <c r="F103" s="112">
        <v>218.63</v>
      </c>
      <c r="G103" s="112">
        <v>221.06</v>
      </c>
      <c r="H103" s="112">
        <v>248.05</v>
      </c>
      <c r="I103" s="112">
        <v>250.91</v>
      </c>
    </row>
    <row r="104" ht="15.5" spans="1:9">
      <c r="A104" s="111">
        <v>87</v>
      </c>
      <c r="B104" s="110">
        <f t="shared" si="2"/>
        <v>1392</v>
      </c>
      <c r="C104" s="112">
        <v>78.46</v>
      </c>
      <c r="D104" s="112">
        <v>112.44</v>
      </c>
      <c r="E104" s="112">
        <v>199.08</v>
      </c>
      <c r="F104" s="112">
        <v>219.74</v>
      </c>
      <c r="G104" s="112">
        <v>222.05</v>
      </c>
      <c r="H104" s="112">
        <v>248.44</v>
      </c>
      <c r="I104" s="112">
        <v>251.3</v>
      </c>
    </row>
    <row r="105" ht="15.5" spans="1:9">
      <c r="A105" s="111">
        <v>88</v>
      </c>
      <c r="B105" s="110">
        <f t="shared" si="2"/>
        <v>1408</v>
      </c>
      <c r="C105" s="112">
        <v>78.69</v>
      </c>
      <c r="D105" s="112">
        <v>112.68</v>
      </c>
      <c r="E105" s="112">
        <v>199.77</v>
      </c>
      <c r="F105" s="112">
        <v>220.04</v>
      </c>
      <c r="G105" s="112">
        <v>222.62</v>
      </c>
      <c r="H105" s="112">
        <v>249.37</v>
      </c>
      <c r="I105" s="112">
        <v>252</v>
      </c>
    </row>
    <row r="106" ht="15.5" spans="1:9">
      <c r="A106" s="111">
        <v>89</v>
      </c>
      <c r="B106" s="110">
        <f t="shared" si="2"/>
        <v>1424</v>
      </c>
      <c r="C106" s="112">
        <v>79.69</v>
      </c>
      <c r="D106" s="112">
        <v>112.93</v>
      </c>
      <c r="E106" s="112">
        <v>207.99</v>
      </c>
      <c r="F106" s="112">
        <v>227.57</v>
      </c>
      <c r="G106" s="112">
        <v>233.91</v>
      </c>
      <c r="H106" s="112">
        <v>266.57</v>
      </c>
      <c r="I106" s="112">
        <v>277.32</v>
      </c>
    </row>
    <row r="107" ht="15.5" spans="1:9">
      <c r="A107" s="111">
        <v>90</v>
      </c>
      <c r="B107" s="110">
        <f t="shared" si="2"/>
        <v>1440</v>
      </c>
      <c r="C107" s="112">
        <v>79.93</v>
      </c>
      <c r="D107" s="112">
        <v>113.17</v>
      </c>
      <c r="E107" s="112">
        <v>209.21</v>
      </c>
      <c r="F107" s="112">
        <v>228.91</v>
      </c>
      <c r="G107" s="112">
        <v>236.84</v>
      </c>
      <c r="H107" s="112">
        <v>277.86</v>
      </c>
      <c r="I107" s="112">
        <v>282.57</v>
      </c>
    </row>
    <row r="108" ht="15.5" spans="1:9">
      <c r="A108" s="111">
        <v>91</v>
      </c>
      <c r="B108" s="110">
        <f t="shared" si="2"/>
        <v>1456</v>
      </c>
      <c r="C108" s="112">
        <v>80.16</v>
      </c>
      <c r="D108" s="112">
        <v>113.41</v>
      </c>
      <c r="E108" s="112">
        <v>209.45</v>
      </c>
      <c r="F108" s="112">
        <v>229.19</v>
      </c>
      <c r="G108" s="112">
        <v>237.14</v>
      </c>
      <c r="H108" s="112">
        <v>278.99</v>
      </c>
      <c r="I108" s="112">
        <v>283.1</v>
      </c>
    </row>
    <row r="109" ht="15.5" spans="1:9">
      <c r="A109" s="111">
        <v>92</v>
      </c>
      <c r="B109" s="110">
        <f t="shared" si="2"/>
        <v>1472</v>
      </c>
      <c r="C109" s="112">
        <v>80.41</v>
      </c>
      <c r="D109" s="112">
        <v>113.64</v>
      </c>
      <c r="E109" s="112">
        <v>209.7</v>
      </c>
      <c r="F109" s="112">
        <v>229.49</v>
      </c>
      <c r="G109" s="112">
        <v>237.57</v>
      </c>
      <c r="H109" s="112">
        <v>279.3</v>
      </c>
      <c r="I109" s="112">
        <v>283.45</v>
      </c>
    </row>
    <row r="110" ht="15.5" spans="1:9">
      <c r="A110" s="111">
        <v>93</v>
      </c>
      <c r="B110" s="110">
        <f t="shared" si="2"/>
        <v>1488</v>
      </c>
      <c r="C110" s="112">
        <v>80.65</v>
      </c>
      <c r="D110" s="112">
        <v>113.89</v>
      </c>
      <c r="E110" s="112">
        <v>209.94</v>
      </c>
      <c r="F110" s="112">
        <v>229.78</v>
      </c>
      <c r="G110" s="112">
        <v>237.87</v>
      </c>
      <c r="H110" s="112">
        <v>279.6</v>
      </c>
      <c r="I110" s="112">
        <v>283.77</v>
      </c>
    </row>
    <row r="111" ht="15.5" spans="1:9">
      <c r="A111" s="111">
        <v>94</v>
      </c>
      <c r="B111" s="110">
        <f t="shared" si="2"/>
        <v>1504</v>
      </c>
      <c r="C111" s="112">
        <v>80.88</v>
      </c>
      <c r="D111" s="112">
        <v>114.13</v>
      </c>
      <c r="E111" s="112">
        <v>210.18</v>
      </c>
      <c r="F111" s="112">
        <v>230.08</v>
      </c>
      <c r="G111" s="112">
        <v>238.18</v>
      </c>
      <c r="H111" s="112">
        <v>280.03</v>
      </c>
      <c r="I111" s="112">
        <v>284.12</v>
      </c>
    </row>
    <row r="112" ht="15.5" spans="1:9">
      <c r="A112" s="111">
        <v>95</v>
      </c>
      <c r="B112" s="110">
        <f t="shared" si="2"/>
        <v>1520</v>
      </c>
      <c r="C112" s="112">
        <v>81.12</v>
      </c>
      <c r="D112" s="112">
        <v>114.36</v>
      </c>
      <c r="E112" s="112">
        <v>210.42</v>
      </c>
      <c r="F112" s="112">
        <v>231.73</v>
      </c>
      <c r="G112" s="112">
        <v>238.49</v>
      </c>
      <c r="H112" s="112">
        <v>280.34</v>
      </c>
      <c r="I112" s="112">
        <v>284.46</v>
      </c>
    </row>
    <row r="113" ht="15.5" spans="1:9">
      <c r="A113" s="111">
        <v>96</v>
      </c>
      <c r="B113" s="110">
        <f t="shared" si="2"/>
        <v>1536</v>
      </c>
      <c r="C113" s="112">
        <v>81.36</v>
      </c>
      <c r="D113" s="112">
        <v>115.51</v>
      </c>
      <c r="E113" s="112">
        <v>210.67</v>
      </c>
      <c r="F113" s="112">
        <v>233.28</v>
      </c>
      <c r="G113" s="112">
        <v>240.31</v>
      </c>
      <c r="H113" s="112">
        <v>281.23</v>
      </c>
      <c r="I113" s="112">
        <v>284.76</v>
      </c>
    </row>
    <row r="114" ht="15.5" spans="1:9">
      <c r="A114" s="111">
        <v>97</v>
      </c>
      <c r="B114" s="110">
        <f t="shared" si="2"/>
        <v>1552</v>
      </c>
      <c r="C114" s="112">
        <v>81.7</v>
      </c>
      <c r="D114" s="112">
        <v>115.74</v>
      </c>
      <c r="E114" s="112">
        <v>210.91</v>
      </c>
      <c r="F114" s="112">
        <v>235.2</v>
      </c>
      <c r="G114" s="112">
        <v>242.8</v>
      </c>
      <c r="H114" s="112">
        <v>281.54</v>
      </c>
      <c r="I114" s="112">
        <v>285.13</v>
      </c>
    </row>
    <row r="115" ht="15.5" spans="1:9">
      <c r="A115" s="111">
        <v>98</v>
      </c>
      <c r="B115" s="110">
        <f t="shared" si="2"/>
        <v>1568</v>
      </c>
      <c r="C115" s="112">
        <v>81.9</v>
      </c>
      <c r="D115" s="112">
        <v>115.98</v>
      </c>
      <c r="E115" s="112">
        <v>211.15</v>
      </c>
      <c r="F115" s="112">
        <v>235.91</v>
      </c>
      <c r="G115" s="112">
        <v>247.6</v>
      </c>
      <c r="H115" s="112">
        <v>282.2</v>
      </c>
      <c r="I115" s="112">
        <v>285.82</v>
      </c>
    </row>
    <row r="116" ht="15.5" spans="1:9">
      <c r="A116" s="111">
        <v>99</v>
      </c>
      <c r="B116" s="110">
        <f t="shared" si="2"/>
        <v>1584</v>
      </c>
      <c r="C116" s="112">
        <v>82.57</v>
      </c>
      <c r="D116" s="112">
        <v>116.22</v>
      </c>
      <c r="E116" s="112">
        <v>211.4</v>
      </c>
      <c r="F116" s="112">
        <v>247.7</v>
      </c>
      <c r="G116" s="112">
        <v>253.68</v>
      </c>
      <c r="H116" s="112">
        <v>295.6</v>
      </c>
      <c r="I116" s="112">
        <v>299.4</v>
      </c>
    </row>
    <row r="117" ht="15.5" spans="1:9">
      <c r="A117" s="111">
        <v>100</v>
      </c>
      <c r="B117" s="110">
        <f t="shared" si="2"/>
        <v>1600</v>
      </c>
      <c r="C117" s="112">
        <v>83.08</v>
      </c>
      <c r="D117" s="112">
        <v>116.45</v>
      </c>
      <c r="E117" s="112">
        <v>213.76</v>
      </c>
      <c r="F117" s="112">
        <v>251.38</v>
      </c>
      <c r="G117" s="112">
        <v>256.61</v>
      </c>
      <c r="H117" s="112">
        <v>311.13</v>
      </c>
      <c r="I117" s="112">
        <v>330.66</v>
      </c>
    </row>
    <row r="118" ht="15.5" spans="1:9">
      <c r="A118" s="111">
        <v>101</v>
      </c>
      <c r="B118" s="110">
        <f t="shared" si="2"/>
        <v>1616</v>
      </c>
      <c r="C118" s="112">
        <v>83.12</v>
      </c>
      <c r="D118" s="112">
        <v>117.63</v>
      </c>
      <c r="E118" s="112">
        <v>215.91</v>
      </c>
      <c r="F118" s="112">
        <v>253.91</v>
      </c>
      <c r="G118" s="112">
        <v>259.19</v>
      </c>
      <c r="H118" s="112">
        <v>314.16</v>
      </c>
      <c r="I118" s="112">
        <v>333.96</v>
      </c>
    </row>
    <row r="119" ht="15.5" spans="1:9">
      <c r="A119" s="111">
        <v>102</v>
      </c>
      <c r="B119" s="110">
        <f t="shared" si="2"/>
        <v>1632</v>
      </c>
      <c r="C119" s="112">
        <v>83.93</v>
      </c>
      <c r="D119" s="112">
        <v>118.8</v>
      </c>
      <c r="E119" s="112">
        <v>218.04</v>
      </c>
      <c r="F119" s="112">
        <v>256.42</v>
      </c>
      <c r="G119" s="112">
        <v>261.75</v>
      </c>
      <c r="H119" s="112">
        <v>317.28</v>
      </c>
      <c r="I119" s="112">
        <v>337.27</v>
      </c>
    </row>
    <row r="120" ht="15.5" spans="1:9">
      <c r="A120" s="111">
        <v>103</v>
      </c>
      <c r="B120" s="110">
        <f t="shared" si="2"/>
        <v>1648</v>
      </c>
      <c r="C120" s="112">
        <v>84.75</v>
      </c>
      <c r="D120" s="112">
        <v>119.96</v>
      </c>
      <c r="E120" s="112">
        <v>220.17</v>
      </c>
      <c r="F120" s="112">
        <v>258.93</v>
      </c>
      <c r="G120" s="112">
        <v>264.32</v>
      </c>
      <c r="H120" s="112">
        <v>320.38</v>
      </c>
      <c r="I120" s="112">
        <v>340.58</v>
      </c>
    </row>
    <row r="121" ht="15.5" spans="1:9">
      <c r="A121" s="111">
        <v>104</v>
      </c>
      <c r="B121" s="110">
        <f t="shared" si="2"/>
        <v>1664</v>
      </c>
      <c r="C121" s="112">
        <v>85.58</v>
      </c>
      <c r="D121" s="112">
        <v>121.12</v>
      </c>
      <c r="E121" s="112">
        <v>222.3</v>
      </c>
      <c r="F121" s="112">
        <v>261.44</v>
      </c>
      <c r="G121" s="112">
        <v>266.9</v>
      </c>
      <c r="H121" s="112">
        <v>323.5</v>
      </c>
      <c r="I121" s="112">
        <v>343.89</v>
      </c>
    </row>
    <row r="122" ht="15.5" spans="1:9">
      <c r="A122" s="111">
        <v>105</v>
      </c>
      <c r="B122" s="110">
        <f t="shared" si="2"/>
        <v>1680</v>
      </c>
      <c r="C122" s="112">
        <v>86.48</v>
      </c>
      <c r="D122" s="112">
        <v>122.28</v>
      </c>
      <c r="E122" s="112">
        <v>224.44</v>
      </c>
      <c r="F122" s="112">
        <v>263.97</v>
      </c>
      <c r="G122" s="112">
        <v>269.45</v>
      </c>
      <c r="H122" s="112">
        <v>326.61</v>
      </c>
      <c r="I122" s="112">
        <v>347.19</v>
      </c>
    </row>
    <row r="123" ht="15.5" spans="1:9">
      <c r="A123" s="111">
        <v>106</v>
      </c>
      <c r="B123" s="110">
        <f t="shared" si="2"/>
        <v>1696</v>
      </c>
      <c r="C123" s="112">
        <v>87.22</v>
      </c>
      <c r="D123" s="112">
        <v>123.44</v>
      </c>
      <c r="E123" s="112">
        <v>226.58</v>
      </c>
      <c r="F123" s="112">
        <v>266.48</v>
      </c>
      <c r="G123" s="112">
        <v>272.01</v>
      </c>
      <c r="H123" s="112">
        <v>329.72</v>
      </c>
      <c r="I123" s="112">
        <v>350.49</v>
      </c>
    </row>
    <row r="124" ht="15.5" spans="1:9">
      <c r="A124" s="111">
        <v>107</v>
      </c>
      <c r="B124" s="110">
        <f t="shared" si="2"/>
        <v>1712</v>
      </c>
      <c r="C124" s="112">
        <v>88.05</v>
      </c>
      <c r="D124" s="112">
        <v>124.62</v>
      </c>
      <c r="E124" s="112">
        <v>228.72</v>
      </c>
      <c r="F124" s="112">
        <v>268.99</v>
      </c>
      <c r="G124" s="112">
        <v>274.59</v>
      </c>
      <c r="H124" s="112">
        <v>332.83</v>
      </c>
      <c r="I124" s="112">
        <v>353.79</v>
      </c>
    </row>
    <row r="125" ht="15.5" spans="1:9">
      <c r="A125" s="111">
        <v>108</v>
      </c>
      <c r="B125" s="110">
        <f t="shared" si="2"/>
        <v>1728</v>
      </c>
      <c r="C125" s="112">
        <v>88.87</v>
      </c>
      <c r="D125" s="112">
        <v>125.78</v>
      </c>
      <c r="E125" s="112">
        <v>230.86</v>
      </c>
      <c r="F125" s="112">
        <v>271.5</v>
      </c>
      <c r="G125" s="112">
        <v>277.16</v>
      </c>
      <c r="H125" s="112">
        <v>335.93</v>
      </c>
      <c r="I125" s="112">
        <v>357.1</v>
      </c>
    </row>
    <row r="126" ht="15.5" spans="1:9">
      <c r="A126" s="111">
        <v>109</v>
      </c>
      <c r="B126" s="110">
        <f t="shared" si="2"/>
        <v>1744</v>
      </c>
      <c r="C126" s="112">
        <v>89.68</v>
      </c>
      <c r="D126" s="112">
        <v>126.94</v>
      </c>
      <c r="E126" s="112">
        <v>233</v>
      </c>
      <c r="F126" s="112">
        <v>274.01</v>
      </c>
      <c r="G126" s="112">
        <v>279.72</v>
      </c>
      <c r="H126" s="112">
        <v>339.05</v>
      </c>
      <c r="I126" s="112">
        <v>360.41</v>
      </c>
    </row>
    <row r="127" ht="15.5" spans="1:9">
      <c r="A127" s="111">
        <v>110</v>
      </c>
      <c r="B127" s="110">
        <f t="shared" si="2"/>
        <v>1760</v>
      </c>
      <c r="C127" s="112">
        <v>90.52</v>
      </c>
      <c r="D127" s="112">
        <v>128.1</v>
      </c>
      <c r="E127" s="112">
        <v>235.13</v>
      </c>
      <c r="F127" s="112">
        <v>276.53</v>
      </c>
      <c r="G127" s="112">
        <v>282.29</v>
      </c>
      <c r="H127" s="112">
        <v>342.16</v>
      </c>
      <c r="I127" s="112">
        <v>363.72</v>
      </c>
    </row>
    <row r="128" ht="15.5" spans="1:9">
      <c r="A128" s="111">
        <v>111</v>
      </c>
      <c r="B128" s="110">
        <f t="shared" si="2"/>
        <v>1776</v>
      </c>
      <c r="C128" s="112">
        <v>91.34</v>
      </c>
      <c r="D128" s="112">
        <v>129.26</v>
      </c>
      <c r="E128" s="112">
        <v>237.26</v>
      </c>
      <c r="F128" s="112">
        <v>279.05</v>
      </c>
      <c r="G128" s="112">
        <v>284.85</v>
      </c>
      <c r="H128" s="112">
        <v>345.26</v>
      </c>
      <c r="I128" s="112">
        <v>367.02</v>
      </c>
    </row>
    <row r="129" ht="15.5" spans="1:9">
      <c r="A129" s="111">
        <v>112</v>
      </c>
      <c r="B129" s="110">
        <f t="shared" si="2"/>
        <v>1792</v>
      </c>
      <c r="C129" s="112">
        <v>92.16</v>
      </c>
      <c r="D129" s="112">
        <v>130.44</v>
      </c>
      <c r="E129" s="112">
        <v>239.41</v>
      </c>
      <c r="F129" s="112">
        <v>281.56</v>
      </c>
      <c r="G129" s="112">
        <v>287.42</v>
      </c>
      <c r="H129" s="112">
        <v>348.38</v>
      </c>
      <c r="I129" s="112">
        <v>370.33</v>
      </c>
    </row>
    <row r="130" ht="15.5" spans="1:9">
      <c r="A130" s="111">
        <v>113</v>
      </c>
      <c r="B130" s="110">
        <f t="shared" si="2"/>
        <v>1808</v>
      </c>
      <c r="C130" s="112">
        <v>93.26</v>
      </c>
      <c r="D130" s="112">
        <v>131.6</v>
      </c>
      <c r="E130" s="112">
        <v>241.56</v>
      </c>
      <c r="F130" s="112">
        <v>284.07</v>
      </c>
      <c r="G130" s="112">
        <v>289.98</v>
      </c>
      <c r="H130" s="112">
        <v>351.49</v>
      </c>
      <c r="I130" s="112">
        <v>373.64</v>
      </c>
    </row>
    <row r="131" ht="15.5" spans="1:9">
      <c r="A131" s="111">
        <v>114</v>
      </c>
      <c r="B131" s="110">
        <f t="shared" si="2"/>
        <v>1824</v>
      </c>
      <c r="C131" s="112">
        <v>93.81</v>
      </c>
      <c r="D131" s="112">
        <v>132.77</v>
      </c>
      <c r="E131" s="112">
        <v>243.69</v>
      </c>
      <c r="F131" s="112">
        <v>286.58</v>
      </c>
      <c r="G131" s="112">
        <v>292.55</v>
      </c>
      <c r="H131" s="112">
        <v>354.6</v>
      </c>
      <c r="I131" s="112">
        <v>376.95</v>
      </c>
    </row>
    <row r="132" ht="15.5" spans="1:9">
      <c r="A132" s="111">
        <v>115</v>
      </c>
      <c r="B132" s="110">
        <f t="shared" si="2"/>
        <v>1840</v>
      </c>
      <c r="C132" s="112">
        <v>94.64</v>
      </c>
      <c r="D132" s="112">
        <v>133.93</v>
      </c>
      <c r="E132" s="112">
        <v>245.82</v>
      </c>
      <c r="F132" s="112">
        <v>289.09</v>
      </c>
      <c r="G132" s="112">
        <v>295.11</v>
      </c>
      <c r="H132" s="112">
        <v>357.71</v>
      </c>
      <c r="I132" s="112">
        <v>380.25</v>
      </c>
    </row>
    <row r="133" ht="15.5" spans="1:9">
      <c r="A133" s="111">
        <v>116</v>
      </c>
      <c r="B133" s="110">
        <f t="shared" si="2"/>
        <v>1856</v>
      </c>
      <c r="C133" s="112">
        <v>95.46</v>
      </c>
      <c r="D133" s="112">
        <v>135.09</v>
      </c>
      <c r="E133" s="112">
        <v>247.95</v>
      </c>
      <c r="F133" s="112">
        <v>291.61</v>
      </c>
      <c r="G133" s="112">
        <v>297.68</v>
      </c>
      <c r="H133" s="112">
        <v>360.83</v>
      </c>
      <c r="I133" s="112">
        <v>383.56</v>
      </c>
    </row>
    <row r="134" ht="15.5" spans="1:9">
      <c r="A134" s="111">
        <v>117</v>
      </c>
      <c r="B134" s="110">
        <f t="shared" si="2"/>
        <v>1872</v>
      </c>
      <c r="C134" s="112">
        <v>96.27</v>
      </c>
      <c r="D134" s="112">
        <v>136.26</v>
      </c>
      <c r="E134" s="112">
        <v>250.1</v>
      </c>
      <c r="F134" s="112">
        <v>294.12</v>
      </c>
      <c r="G134" s="112">
        <v>300.24</v>
      </c>
      <c r="H134" s="112">
        <v>363.93</v>
      </c>
      <c r="I134" s="112">
        <v>386.87</v>
      </c>
    </row>
    <row r="135" ht="15.5" spans="1:9">
      <c r="A135" s="111">
        <v>118</v>
      </c>
      <c r="B135" s="110">
        <f t="shared" si="2"/>
        <v>1888</v>
      </c>
      <c r="C135" s="112">
        <v>97.11</v>
      </c>
      <c r="D135" s="112">
        <v>137.42</v>
      </c>
      <c r="E135" s="112">
        <v>252.23</v>
      </c>
      <c r="F135" s="112">
        <v>296.64</v>
      </c>
      <c r="G135" s="112">
        <v>302.81</v>
      </c>
      <c r="H135" s="112">
        <v>367.04</v>
      </c>
      <c r="I135" s="112">
        <v>390.16</v>
      </c>
    </row>
    <row r="136" ht="15.5" spans="1:9">
      <c r="A136" s="111">
        <v>119</v>
      </c>
      <c r="B136" s="110">
        <f t="shared" si="2"/>
        <v>1904</v>
      </c>
      <c r="C136" s="112">
        <v>97.93</v>
      </c>
      <c r="D136" s="112">
        <v>138.59</v>
      </c>
      <c r="E136" s="112">
        <v>254.37</v>
      </c>
      <c r="F136" s="112">
        <v>299.15</v>
      </c>
      <c r="G136" s="112">
        <v>305.37</v>
      </c>
      <c r="H136" s="112">
        <v>370.16</v>
      </c>
      <c r="I136" s="112">
        <v>393.47</v>
      </c>
    </row>
    <row r="137" ht="15.5" spans="1:9">
      <c r="A137" s="111">
        <v>120</v>
      </c>
      <c r="B137" s="110">
        <f t="shared" si="2"/>
        <v>1920</v>
      </c>
      <c r="C137" s="112">
        <v>98.75</v>
      </c>
      <c r="D137" s="112">
        <v>139.75</v>
      </c>
      <c r="E137" s="112">
        <v>256.51</v>
      </c>
      <c r="F137" s="112">
        <v>301.67</v>
      </c>
      <c r="G137" s="112">
        <v>307.95</v>
      </c>
      <c r="H137" s="112">
        <v>373.26</v>
      </c>
      <c r="I137" s="112">
        <v>396.78</v>
      </c>
    </row>
    <row r="138" ht="15.5" spans="1:9">
      <c r="A138" s="111">
        <v>121</v>
      </c>
      <c r="B138" s="110">
        <f t="shared" si="2"/>
        <v>1936</v>
      </c>
      <c r="C138" s="112">
        <v>99.58</v>
      </c>
      <c r="D138" s="112">
        <v>140.91</v>
      </c>
      <c r="E138" s="112">
        <v>258.65</v>
      </c>
      <c r="F138" s="112">
        <v>304.18</v>
      </c>
      <c r="G138" s="112">
        <v>310.5</v>
      </c>
      <c r="H138" s="112">
        <v>376.38</v>
      </c>
      <c r="I138" s="112">
        <v>400.09</v>
      </c>
    </row>
    <row r="139" ht="15.5" spans="1:9">
      <c r="A139" s="111">
        <v>122</v>
      </c>
      <c r="B139" s="110">
        <f t="shared" si="2"/>
        <v>1952</v>
      </c>
      <c r="C139" s="112">
        <v>100.39</v>
      </c>
      <c r="D139" s="112">
        <v>142.07</v>
      </c>
      <c r="E139" s="112">
        <v>260.78</v>
      </c>
      <c r="F139" s="112">
        <v>306.69</v>
      </c>
      <c r="G139" s="112">
        <v>313.08</v>
      </c>
      <c r="H139" s="112">
        <v>379.49</v>
      </c>
      <c r="I139" s="112">
        <v>403.39</v>
      </c>
    </row>
    <row r="140" ht="15.5" spans="1:9">
      <c r="A140" s="111">
        <v>123</v>
      </c>
      <c r="B140" s="110">
        <f t="shared" si="2"/>
        <v>1968</v>
      </c>
      <c r="C140" s="112">
        <v>101.21</v>
      </c>
      <c r="D140" s="112">
        <v>143.25</v>
      </c>
      <c r="E140" s="112">
        <v>262.93</v>
      </c>
      <c r="F140" s="112">
        <v>309.2</v>
      </c>
      <c r="G140" s="112">
        <v>315.64</v>
      </c>
      <c r="H140" s="112">
        <v>382.59</v>
      </c>
      <c r="I140" s="112">
        <v>406.7</v>
      </c>
    </row>
    <row r="141" ht="15.5" spans="1:9">
      <c r="A141" s="111">
        <v>124</v>
      </c>
      <c r="B141" s="110">
        <f t="shared" si="2"/>
        <v>1984</v>
      </c>
      <c r="C141" s="112">
        <v>102.03</v>
      </c>
      <c r="D141" s="112">
        <v>144.41</v>
      </c>
      <c r="E141" s="112">
        <v>265.06</v>
      </c>
      <c r="F141" s="112">
        <v>311.72</v>
      </c>
      <c r="G141" s="112">
        <v>318.21</v>
      </c>
      <c r="H141" s="112">
        <v>385.71</v>
      </c>
      <c r="I141" s="112">
        <v>410.01</v>
      </c>
    </row>
    <row r="142" ht="15.5" spans="1:9">
      <c r="A142" s="111">
        <v>125</v>
      </c>
      <c r="B142" s="110">
        <f t="shared" si="2"/>
        <v>2000</v>
      </c>
      <c r="C142" s="112">
        <v>102.86</v>
      </c>
      <c r="D142" s="112">
        <v>145.57</v>
      </c>
      <c r="E142" s="112">
        <v>267.21</v>
      </c>
      <c r="F142" s="112">
        <v>314.23</v>
      </c>
      <c r="G142" s="112">
        <v>320.77</v>
      </c>
      <c r="H142" s="112">
        <v>388.81</v>
      </c>
      <c r="I142" s="112">
        <v>413.32</v>
      </c>
    </row>
    <row r="143" ht="15.5" spans="1:9">
      <c r="A143" s="111">
        <v>126</v>
      </c>
      <c r="B143" s="110">
        <f t="shared" si="2"/>
        <v>2016</v>
      </c>
      <c r="C143" s="112">
        <v>103.88</v>
      </c>
      <c r="D143" s="112">
        <v>146.73</v>
      </c>
      <c r="E143" s="112">
        <v>269.34</v>
      </c>
      <c r="F143" s="112">
        <v>316.75</v>
      </c>
      <c r="G143" s="112">
        <v>323.34</v>
      </c>
      <c r="H143" s="112">
        <v>391.93</v>
      </c>
      <c r="I143" s="112">
        <v>416.62</v>
      </c>
    </row>
    <row r="144" ht="15.5" spans="1:9">
      <c r="A144" s="111">
        <v>127</v>
      </c>
      <c r="B144" s="110">
        <f t="shared" si="2"/>
        <v>2032</v>
      </c>
      <c r="C144" s="112">
        <v>104.5</v>
      </c>
      <c r="D144" s="112">
        <v>147.89</v>
      </c>
      <c r="E144" s="112">
        <v>271.47</v>
      </c>
      <c r="F144" s="112">
        <v>319.26</v>
      </c>
      <c r="G144" s="112">
        <v>325.9</v>
      </c>
      <c r="H144" s="112">
        <v>395.04</v>
      </c>
      <c r="I144" s="112">
        <v>419.93</v>
      </c>
    </row>
    <row r="145" ht="15.5" spans="1:9">
      <c r="A145" s="111">
        <v>128</v>
      </c>
      <c r="B145" s="110">
        <f t="shared" si="2"/>
        <v>2048</v>
      </c>
      <c r="C145" s="112">
        <v>105.33</v>
      </c>
      <c r="D145" s="112">
        <v>149.05</v>
      </c>
      <c r="E145" s="112">
        <v>273.6</v>
      </c>
      <c r="F145" s="112">
        <v>321.77</v>
      </c>
      <c r="G145" s="112">
        <v>328.47</v>
      </c>
      <c r="H145" s="112">
        <v>398.14</v>
      </c>
      <c r="I145" s="112">
        <v>423.24</v>
      </c>
    </row>
    <row r="146" ht="15.5" spans="1:9">
      <c r="A146" s="111">
        <v>129</v>
      </c>
      <c r="B146" s="110">
        <f t="shared" ref="B146:B167" si="3">A146*16</f>
        <v>2064</v>
      </c>
      <c r="C146" s="112">
        <v>106.35</v>
      </c>
      <c r="D146" s="112">
        <v>150.24</v>
      </c>
      <c r="E146" s="112">
        <v>275.75</v>
      </c>
      <c r="F146" s="112">
        <v>324.28</v>
      </c>
      <c r="G146" s="112">
        <v>331.05</v>
      </c>
      <c r="H146" s="112">
        <v>401.26</v>
      </c>
      <c r="I146" s="112">
        <v>426.55</v>
      </c>
    </row>
    <row r="147" ht="15.5" spans="1:9">
      <c r="A147" s="111">
        <v>130</v>
      </c>
      <c r="B147" s="110">
        <f t="shared" si="3"/>
        <v>2080</v>
      </c>
      <c r="C147" s="112">
        <v>107.18</v>
      </c>
      <c r="D147" s="112">
        <v>151.4</v>
      </c>
      <c r="E147" s="112">
        <v>277.88</v>
      </c>
      <c r="F147" s="112">
        <v>326.81</v>
      </c>
      <c r="G147" s="112">
        <v>333.61</v>
      </c>
      <c r="H147" s="112">
        <v>404.37</v>
      </c>
      <c r="I147" s="112">
        <v>429.85</v>
      </c>
    </row>
    <row r="148" ht="15.5" spans="1:9">
      <c r="A148" s="111">
        <v>131</v>
      </c>
      <c r="B148" s="110">
        <f t="shared" si="3"/>
        <v>2096</v>
      </c>
      <c r="C148" s="112">
        <v>107.8</v>
      </c>
      <c r="D148" s="112">
        <v>152.56</v>
      </c>
      <c r="E148" s="112">
        <v>280.02</v>
      </c>
      <c r="F148" s="112">
        <v>329.32</v>
      </c>
      <c r="G148" s="112">
        <v>336.16</v>
      </c>
      <c r="H148" s="112">
        <v>407.48</v>
      </c>
      <c r="I148" s="112">
        <v>433.16</v>
      </c>
    </row>
    <row r="149" ht="15.5" spans="1:9">
      <c r="A149" s="111">
        <v>132</v>
      </c>
      <c r="B149" s="110">
        <f t="shared" si="3"/>
        <v>2112</v>
      </c>
      <c r="C149" s="112">
        <v>108.62</v>
      </c>
      <c r="D149" s="112">
        <v>153.72</v>
      </c>
      <c r="E149" s="112">
        <v>282.16</v>
      </c>
      <c r="F149" s="112">
        <v>331.83</v>
      </c>
      <c r="G149" s="112">
        <v>338.74</v>
      </c>
      <c r="H149" s="112">
        <v>410.59</v>
      </c>
      <c r="I149" s="112">
        <v>436.47</v>
      </c>
    </row>
    <row r="150" ht="15.5" spans="1:9">
      <c r="A150" s="111">
        <v>133</v>
      </c>
      <c r="B150" s="110">
        <f t="shared" si="3"/>
        <v>2128</v>
      </c>
      <c r="C150" s="112">
        <v>109.44</v>
      </c>
      <c r="D150" s="112">
        <v>154.89</v>
      </c>
      <c r="E150" s="112">
        <v>284.3</v>
      </c>
      <c r="F150" s="112">
        <v>334.34</v>
      </c>
      <c r="G150" s="112">
        <v>341.31</v>
      </c>
      <c r="H150" s="112">
        <v>413.69</v>
      </c>
      <c r="I150" s="112">
        <v>439.76</v>
      </c>
    </row>
    <row r="151" ht="15.5" spans="1:9">
      <c r="A151" s="111">
        <v>134</v>
      </c>
      <c r="B151" s="110">
        <f t="shared" si="3"/>
        <v>2144</v>
      </c>
      <c r="C151" s="112">
        <v>110.25</v>
      </c>
      <c r="D151" s="112">
        <v>156.05</v>
      </c>
      <c r="E151" s="112">
        <v>286.43</v>
      </c>
      <c r="F151" s="112">
        <v>336.85</v>
      </c>
      <c r="G151" s="112">
        <v>343.87</v>
      </c>
      <c r="H151" s="112">
        <v>416.81</v>
      </c>
      <c r="I151" s="112">
        <v>443.07</v>
      </c>
    </row>
    <row r="152" ht="15.5" spans="1:9">
      <c r="A152" s="111">
        <v>135</v>
      </c>
      <c r="B152" s="110">
        <f t="shared" si="3"/>
        <v>2160</v>
      </c>
      <c r="C152" s="112">
        <v>111.31</v>
      </c>
      <c r="D152" s="112">
        <v>157.22</v>
      </c>
      <c r="E152" s="112">
        <v>288.56</v>
      </c>
      <c r="F152" s="112">
        <v>339.38</v>
      </c>
      <c r="G152" s="112">
        <v>346.44</v>
      </c>
      <c r="H152" s="112">
        <v>419.92</v>
      </c>
      <c r="I152" s="112">
        <v>446.38</v>
      </c>
    </row>
    <row r="153" ht="15.5" spans="1:9">
      <c r="A153" s="111">
        <v>136</v>
      </c>
      <c r="B153" s="110">
        <f t="shared" si="3"/>
        <v>2176</v>
      </c>
      <c r="C153" s="112">
        <v>111.9</v>
      </c>
      <c r="D153" s="112">
        <v>158.38</v>
      </c>
      <c r="E153" s="112">
        <v>290.71</v>
      </c>
      <c r="F153" s="112">
        <v>341.89</v>
      </c>
      <c r="G153" s="112">
        <v>349</v>
      </c>
      <c r="H153" s="112">
        <v>423.04</v>
      </c>
      <c r="I153" s="112">
        <v>449.69</v>
      </c>
    </row>
    <row r="154" ht="15.5" spans="1:9">
      <c r="A154" s="111">
        <v>137</v>
      </c>
      <c r="B154" s="110">
        <f t="shared" si="3"/>
        <v>2192</v>
      </c>
      <c r="C154" s="112">
        <v>112.73</v>
      </c>
      <c r="D154" s="112">
        <v>159.54</v>
      </c>
      <c r="E154" s="112">
        <v>292.84</v>
      </c>
      <c r="F154" s="112">
        <v>344.39</v>
      </c>
      <c r="G154" s="112">
        <v>351.57</v>
      </c>
      <c r="H154" s="112">
        <v>426.14</v>
      </c>
      <c r="I154" s="112">
        <v>452.99</v>
      </c>
    </row>
    <row r="155" ht="15.5" spans="1:9">
      <c r="A155" s="111">
        <v>138</v>
      </c>
      <c r="B155" s="110">
        <f t="shared" si="3"/>
        <v>2208</v>
      </c>
      <c r="C155" s="112">
        <v>113.78</v>
      </c>
      <c r="D155" s="112">
        <v>160.72</v>
      </c>
      <c r="E155" s="112">
        <v>294.99</v>
      </c>
      <c r="F155" s="112">
        <v>346.92</v>
      </c>
      <c r="G155" s="112">
        <v>354.13</v>
      </c>
      <c r="H155" s="112">
        <v>429.26</v>
      </c>
      <c r="I155" s="112">
        <v>456.3</v>
      </c>
    </row>
    <row r="156" ht="15.5" spans="1:9">
      <c r="A156" s="111">
        <v>139</v>
      </c>
      <c r="B156" s="110">
        <f t="shared" si="3"/>
        <v>2224</v>
      </c>
      <c r="C156" s="112">
        <v>114.39</v>
      </c>
      <c r="D156" s="112">
        <v>161.88</v>
      </c>
      <c r="E156" s="112">
        <v>297.12</v>
      </c>
      <c r="F156" s="112">
        <v>349.42</v>
      </c>
      <c r="G156" s="112">
        <v>356.71</v>
      </c>
      <c r="H156" s="112">
        <v>432.36</v>
      </c>
      <c r="I156" s="112">
        <v>459.61</v>
      </c>
    </row>
    <row r="157" ht="15.5" spans="1:9">
      <c r="A157" s="111">
        <v>140</v>
      </c>
      <c r="B157" s="110">
        <f t="shared" si="3"/>
        <v>2240</v>
      </c>
      <c r="C157" s="112">
        <v>115.21</v>
      </c>
      <c r="D157" s="112">
        <v>163.04</v>
      </c>
      <c r="E157" s="112">
        <v>299.25</v>
      </c>
      <c r="F157" s="112">
        <v>351.95</v>
      </c>
      <c r="G157" s="112">
        <v>359.26</v>
      </c>
      <c r="H157" s="112">
        <v>435.47</v>
      </c>
      <c r="I157" s="112">
        <v>462.92</v>
      </c>
    </row>
    <row r="158" ht="15.5" spans="1:9">
      <c r="A158" s="111">
        <v>141</v>
      </c>
      <c r="B158" s="110">
        <f t="shared" si="3"/>
        <v>2256</v>
      </c>
      <c r="C158" s="112">
        <v>116.25</v>
      </c>
      <c r="D158" s="112">
        <v>164.2</v>
      </c>
      <c r="E158" s="112">
        <v>301.39</v>
      </c>
      <c r="F158" s="112">
        <v>354.46</v>
      </c>
      <c r="G158" s="112">
        <v>361.83</v>
      </c>
      <c r="H158" s="112">
        <v>438.59</v>
      </c>
      <c r="I158" s="112">
        <v>466.22</v>
      </c>
    </row>
    <row r="159" ht="15.5" spans="1:9">
      <c r="A159" s="111">
        <v>142</v>
      </c>
      <c r="B159" s="110">
        <f t="shared" si="3"/>
        <v>2272</v>
      </c>
      <c r="C159" s="112">
        <v>117.07</v>
      </c>
      <c r="D159" s="112">
        <v>165.36</v>
      </c>
      <c r="E159" s="112">
        <v>303.53</v>
      </c>
      <c r="F159" s="112">
        <v>356.97</v>
      </c>
      <c r="G159" s="112">
        <v>364.41</v>
      </c>
      <c r="H159" s="112">
        <v>441.69</v>
      </c>
      <c r="I159" s="112">
        <v>469.53</v>
      </c>
    </row>
    <row r="160" ht="15.5" spans="1:9">
      <c r="A160" s="111">
        <v>143</v>
      </c>
      <c r="B160" s="110">
        <f t="shared" si="3"/>
        <v>2288</v>
      </c>
      <c r="C160" s="112">
        <v>117.67</v>
      </c>
      <c r="D160" s="112">
        <v>166.54</v>
      </c>
      <c r="E160" s="112">
        <v>305.68</v>
      </c>
      <c r="F160" s="112">
        <v>359.48</v>
      </c>
      <c r="G160" s="112">
        <v>366.97</v>
      </c>
      <c r="H160" s="112">
        <v>444.81</v>
      </c>
      <c r="I160" s="112">
        <v>472.84</v>
      </c>
    </row>
    <row r="161" ht="15.5" spans="1:9">
      <c r="A161" s="111">
        <v>144</v>
      </c>
      <c r="B161" s="110">
        <f t="shared" si="3"/>
        <v>2304</v>
      </c>
      <c r="C161" s="112">
        <v>118.5</v>
      </c>
      <c r="D161" s="112">
        <v>167.7</v>
      </c>
      <c r="E161" s="112">
        <v>307.81</v>
      </c>
      <c r="F161" s="112">
        <v>362</v>
      </c>
      <c r="G161" s="112">
        <v>369.54</v>
      </c>
      <c r="H161" s="112">
        <v>447.92</v>
      </c>
      <c r="I161" s="112">
        <v>476.15</v>
      </c>
    </row>
    <row r="162" ht="15.5" spans="1:9">
      <c r="A162" s="111">
        <v>145</v>
      </c>
      <c r="B162" s="110">
        <f t="shared" si="3"/>
        <v>2320</v>
      </c>
      <c r="C162" s="112">
        <v>119.31</v>
      </c>
      <c r="D162" s="112">
        <v>168.87</v>
      </c>
      <c r="E162" s="112">
        <v>309.95</v>
      </c>
      <c r="F162" s="112">
        <v>364.51</v>
      </c>
      <c r="G162" s="112">
        <v>372.1</v>
      </c>
      <c r="H162" s="112">
        <v>451.02</v>
      </c>
      <c r="I162" s="112">
        <v>479.45</v>
      </c>
    </row>
    <row r="163" ht="15.5" spans="1:9">
      <c r="A163" s="111">
        <v>146</v>
      </c>
      <c r="B163" s="110">
        <f t="shared" si="3"/>
        <v>2336</v>
      </c>
      <c r="C163" s="112">
        <v>120.14</v>
      </c>
      <c r="D163" s="112">
        <v>170.03</v>
      </c>
      <c r="E163" s="112">
        <v>312.09</v>
      </c>
      <c r="F163" s="112">
        <v>367.02</v>
      </c>
      <c r="G163" s="112">
        <v>374.67</v>
      </c>
      <c r="H163" s="112">
        <v>454.14</v>
      </c>
      <c r="I163" s="112">
        <v>482.75</v>
      </c>
    </row>
    <row r="164" ht="15.5" spans="1:9">
      <c r="A164" s="111">
        <v>147</v>
      </c>
      <c r="B164" s="110">
        <f t="shared" si="3"/>
        <v>2352</v>
      </c>
      <c r="C164" s="112">
        <v>120.96</v>
      </c>
      <c r="D164" s="112">
        <v>171.19</v>
      </c>
      <c r="E164" s="112">
        <v>314.23</v>
      </c>
      <c r="F164" s="112">
        <v>369.54</v>
      </c>
      <c r="G164" s="112">
        <v>377.23</v>
      </c>
      <c r="H164" s="112">
        <v>457.25</v>
      </c>
      <c r="I164" s="112">
        <v>486.05</v>
      </c>
    </row>
    <row r="165" ht="15.5" spans="1:9">
      <c r="A165" s="111">
        <v>148</v>
      </c>
      <c r="B165" s="110">
        <f t="shared" si="3"/>
        <v>2368</v>
      </c>
      <c r="C165" s="112">
        <v>121.78</v>
      </c>
      <c r="D165" s="112">
        <v>172.35</v>
      </c>
      <c r="E165" s="112">
        <v>316.36</v>
      </c>
      <c r="F165" s="112">
        <v>372.05</v>
      </c>
      <c r="G165" s="112">
        <v>379.8</v>
      </c>
      <c r="H165" s="112">
        <v>460.36</v>
      </c>
      <c r="I165" s="112">
        <v>489.36</v>
      </c>
    </row>
    <row r="166" ht="15.5" spans="1:9">
      <c r="A166" s="111">
        <v>149</v>
      </c>
      <c r="B166" s="110">
        <f t="shared" si="3"/>
        <v>2384</v>
      </c>
      <c r="C166" s="112">
        <v>122.84</v>
      </c>
      <c r="D166" s="112">
        <v>173.52</v>
      </c>
      <c r="E166" s="112">
        <v>318.49</v>
      </c>
      <c r="F166" s="112">
        <v>374.56</v>
      </c>
      <c r="G166" s="112">
        <v>382.36</v>
      </c>
      <c r="H166" s="112">
        <v>463.47</v>
      </c>
      <c r="I166" s="112">
        <v>492.67</v>
      </c>
    </row>
    <row r="167" ht="15.5" spans="1:9">
      <c r="A167" s="111">
        <v>150</v>
      </c>
      <c r="B167" s="110">
        <f t="shared" si="3"/>
        <v>2400</v>
      </c>
      <c r="C167" s="112">
        <v>123.66</v>
      </c>
      <c r="D167" s="112">
        <v>174.69</v>
      </c>
      <c r="E167" s="112">
        <v>320.64</v>
      </c>
      <c r="F167" s="112">
        <v>377.08</v>
      </c>
      <c r="G167" s="112">
        <v>384.93</v>
      </c>
      <c r="H167" s="112">
        <v>466.57</v>
      </c>
      <c r="I167" s="112">
        <v>495.98</v>
      </c>
    </row>
  </sheetData>
  <mergeCells count="2">
    <mergeCell ref="A1:B1"/>
    <mergeCell ref="C1:I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7"/>
  <sheetViews>
    <sheetView workbookViewId="0">
      <selection activeCell="J1" sqref="J1:J11"/>
    </sheetView>
  </sheetViews>
  <sheetFormatPr defaultColWidth="8.89090909090909" defaultRowHeight="14"/>
  <cols>
    <col min="10" max="10" width="31.1090909090909" customWidth="1"/>
  </cols>
  <sheetData>
    <row r="1" ht="18.5" spans="1:10">
      <c r="A1" s="103" t="s">
        <v>105</v>
      </c>
      <c r="B1" s="104"/>
      <c r="C1" s="105" t="s">
        <v>106</v>
      </c>
      <c r="D1" s="106"/>
      <c r="E1" s="106"/>
      <c r="F1" s="106"/>
      <c r="G1" s="106"/>
      <c r="H1" s="106"/>
      <c r="I1" s="107"/>
      <c r="J1" s="11" t="s">
        <v>107</v>
      </c>
    </row>
    <row r="2" ht="18.5" spans="1:10">
      <c r="A2" s="108" t="s">
        <v>112</v>
      </c>
      <c r="B2" s="108" t="s">
        <v>113</v>
      </c>
      <c r="C2" s="109">
        <v>202</v>
      </c>
      <c r="D2" s="109">
        <v>203</v>
      </c>
      <c r="E2" s="109">
        <v>204</v>
      </c>
      <c r="F2" s="109">
        <v>205</v>
      </c>
      <c r="G2" s="109">
        <v>206</v>
      </c>
      <c r="H2" s="109">
        <v>207</v>
      </c>
      <c r="I2" s="109">
        <v>208</v>
      </c>
      <c r="J2" s="19" t="s">
        <v>5</v>
      </c>
    </row>
    <row r="3" ht="15.5" spans="1:10">
      <c r="A3" s="110">
        <f t="shared" ref="A3:A17" si="0">B3/16</f>
        <v>0.0625</v>
      </c>
      <c r="B3" s="111">
        <v>1</v>
      </c>
      <c r="C3" s="112">
        <v>22.57</v>
      </c>
      <c r="D3" s="112">
        <v>22.57</v>
      </c>
      <c r="E3" s="112">
        <v>22.57</v>
      </c>
      <c r="F3" s="112">
        <v>22.57</v>
      </c>
      <c r="G3" s="112">
        <v>22.57</v>
      </c>
      <c r="H3" s="112">
        <v>22.57</v>
      </c>
      <c r="I3" s="112">
        <v>22.57</v>
      </c>
      <c r="J3" s="19" t="s">
        <v>8</v>
      </c>
    </row>
    <row r="4" ht="15.5" spans="1:10">
      <c r="A4" s="110">
        <f t="shared" si="0"/>
        <v>0.125</v>
      </c>
      <c r="B4" s="111">
        <v>2</v>
      </c>
      <c r="C4" s="112">
        <v>22.57</v>
      </c>
      <c r="D4" s="112">
        <v>22.57</v>
      </c>
      <c r="E4" s="112">
        <v>22.57</v>
      </c>
      <c r="F4" s="112">
        <v>22.57</v>
      </c>
      <c r="G4" s="112">
        <v>22.57</v>
      </c>
      <c r="H4" s="112">
        <v>22.57</v>
      </c>
      <c r="I4" s="112">
        <v>22.57</v>
      </c>
      <c r="J4" s="19" t="s">
        <v>11</v>
      </c>
    </row>
    <row r="5" ht="15.5" spans="1:10">
      <c r="A5" s="110">
        <f t="shared" si="0"/>
        <v>0.1875</v>
      </c>
      <c r="B5" s="111">
        <v>3</v>
      </c>
      <c r="C5" s="112">
        <v>22.57</v>
      </c>
      <c r="D5" s="112">
        <v>22.57</v>
      </c>
      <c r="E5" s="112">
        <v>22.57</v>
      </c>
      <c r="F5" s="112">
        <v>22.57</v>
      </c>
      <c r="G5" s="112">
        <v>22.57</v>
      </c>
      <c r="H5" s="112">
        <v>22.57</v>
      </c>
      <c r="I5" s="112">
        <v>22.57</v>
      </c>
      <c r="J5" s="19" t="s">
        <v>13</v>
      </c>
    </row>
    <row r="6" ht="15.5" spans="1:10">
      <c r="A6" s="110">
        <f t="shared" si="0"/>
        <v>0.25</v>
      </c>
      <c r="B6" s="111">
        <v>4</v>
      </c>
      <c r="C6" s="112">
        <v>22.57</v>
      </c>
      <c r="D6" s="112">
        <v>22.57</v>
      </c>
      <c r="E6" s="112">
        <v>22.57</v>
      </c>
      <c r="F6" s="112">
        <v>22.57</v>
      </c>
      <c r="G6" s="112">
        <v>22.57</v>
      </c>
      <c r="H6" s="112">
        <v>22.57</v>
      </c>
      <c r="I6" s="112">
        <v>22.57</v>
      </c>
      <c r="J6" s="19" t="s">
        <v>15</v>
      </c>
    </row>
    <row r="7" ht="15.5" spans="1:10">
      <c r="A7" s="110">
        <f t="shared" si="0"/>
        <v>0.3125</v>
      </c>
      <c r="B7" s="111">
        <v>5</v>
      </c>
      <c r="C7" s="112">
        <v>22.57</v>
      </c>
      <c r="D7" s="112">
        <v>22.57</v>
      </c>
      <c r="E7" s="112">
        <v>22.57</v>
      </c>
      <c r="F7" s="112">
        <v>22.57</v>
      </c>
      <c r="G7" s="112">
        <v>22.57</v>
      </c>
      <c r="H7" s="112">
        <v>22.57</v>
      </c>
      <c r="I7" s="112">
        <v>22.57</v>
      </c>
      <c r="J7" s="19" t="s">
        <v>17</v>
      </c>
    </row>
    <row r="8" ht="15.5" spans="1:10">
      <c r="A8" s="110">
        <f t="shared" si="0"/>
        <v>0.375</v>
      </c>
      <c r="B8" s="111">
        <v>6</v>
      </c>
      <c r="C8" s="112">
        <v>22.57</v>
      </c>
      <c r="D8" s="112">
        <v>22.57</v>
      </c>
      <c r="E8" s="112">
        <v>22.57</v>
      </c>
      <c r="F8" s="112">
        <v>22.57</v>
      </c>
      <c r="G8" s="112">
        <v>22.57</v>
      </c>
      <c r="H8" s="112">
        <v>22.57</v>
      </c>
      <c r="I8" s="112">
        <v>22.57</v>
      </c>
      <c r="J8" s="11" t="s">
        <v>19</v>
      </c>
    </row>
    <row r="9" ht="15.5" spans="1:10">
      <c r="A9" s="110">
        <f t="shared" si="0"/>
        <v>0.4375</v>
      </c>
      <c r="B9" s="111">
        <v>7</v>
      </c>
      <c r="C9" s="112">
        <v>22.57</v>
      </c>
      <c r="D9" s="112">
        <v>22.57</v>
      </c>
      <c r="E9" s="112">
        <v>22.57</v>
      </c>
      <c r="F9" s="112">
        <v>22.57</v>
      </c>
      <c r="G9" s="112">
        <v>22.57</v>
      </c>
      <c r="H9" s="112">
        <v>22.57</v>
      </c>
      <c r="I9" s="112">
        <v>22.57</v>
      </c>
      <c r="J9" s="11" t="s">
        <v>22</v>
      </c>
    </row>
    <row r="10" ht="15.5" spans="1:10">
      <c r="A10" s="110">
        <f t="shared" si="0"/>
        <v>0.5</v>
      </c>
      <c r="B10" s="111">
        <v>8</v>
      </c>
      <c r="C10" s="112">
        <v>22.57</v>
      </c>
      <c r="D10" s="112">
        <v>22.57</v>
      </c>
      <c r="E10" s="112">
        <v>22.57</v>
      </c>
      <c r="F10" s="112">
        <v>22.57</v>
      </c>
      <c r="G10" s="112">
        <v>22.57</v>
      </c>
      <c r="H10" s="112">
        <v>22.57</v>
      </c>
      <c r="I10" s="112">
        <v>22.57</v>
      </c>
      <c r="J10" s="11" t="s">
        <v>25</v>
      </c>
    </row>
    <row r="11" ht="15.5" spans="1:10">
      <c r="A11" s="110">
        <f t="shared" si="0"/>
        <v>0.5625</v>
      </c>
      <c r="B11" s="111">
        <v>9</v>
      </c>
      <c r="C11" s="112">
        <v>22.57</v>
      </c>
      <c r="D11" s="112">
        <v>22.57</v>
      </c>
      <c r="E11" s="112">
        <v>22.57</v>
      </c>
      <c r="F11" s="112">
        <v>22.57</v>
      </c>
      <c r="G11" s="112">
        <v>22.57</v>
      </c>
      <c r="H11" s="112">
        <v>22.57</v>
      </c>
      <c r="I11" s="112">
        <v>22.57</v>
      </c>
      <c r="J11" s="11" t="s">
        <v>27</v>
      </c>
    </row>
    <row r="12" ht="15.5" spans="1:10">
      <c r="A12" s="110">
        <f t="shared" si="0"/>
        <v>0.625</v>
      </c>
      <c r="B12" s="111">
        <v>10</v>
      </c>
      <c r="C12" s="112">
        <v>22.57</v>
      </c>
      <c r="D12" s="112">
        <v>22.57</v>
      </c>
      <c r="E12" s="112">
        <v>22.57</v>
      </c>
      <c r="F12" s="112">
        <v>22.57</v>
      </c>
      <c r="G12" s="112">
        <v>22.57</v>
      </c>
      <c r="H12" s="112">
        <v>22.57</v>
      </c>
      <c r="I12" s="112">
        <v>22.57</v>
      </c>
    </row>
    <row r="13" ht="15.5" spans="1:10">
      <c r="A13" s="110">
        <f t="shared" si="0"/>
        <v>0.6875</v>
      </c>
      <c r="B13" s="111">
        <v>11</v>
      </c>
      <c r="C13" s="112">
        <v>22.57</v>
      </c>
      <c r="D13" s="112">
        <v>22.57</v>
      </c>
      <c r="E13" s="112">
        <v>22.57</v>
      </c>
      <c r="F13" s="112">
        <v>22.57</v>
      </c>
      <c r="G13" s="112">
        <v>22.57</v>
      </c>
      <c r="H13" s="112">
        <v>22.57</v>
      </c>
      <c r="I13" s="112">
        <v>22.57</v>
      </c>
    </row>
    <row r="14" ht="15.5" spans="1:10">
      <c r="A14" s="110">
        <f t="shared" si="0"/>
        <v>0.75</v>
      </c>
      <c r="B14" s="111">
        <v>12</v>
      </c>
      <c r="C14" s="112">
        <v>22.57</v>
      </c>
      <c r="D14" s="112">
        <v>22.57</v>
      </c>
      <c r="E14" s="112">
        <v>22.57</v>
      </c>
      <c r="F14" s="112">
        <v>22.57</v>
      </c>
      <c r="G14" s="112">
        <v>22.57</v>
      </c>
      <c r="H14" s="112">
        <v>22.57</v>
      </c>
      <c r="I14" s="112">
        <v>22.57</v>
      </c>
    </row>
    <row r="15" ht="15.5" spans="1:10">
      <c r="A15" s="110">
        <f t="shared" si="0"/>
        <v>0.8125</v>
      </c>
      <c r="B15" s="111">
        <v>13</v>
      </c>
      <c r="C15" s="112">
        <v>22.57</v>
      </c>
      <c r="D15" s="112">
        <v>22.57</v>
      </c>
      <c r="E15" s="112">
        <v>22.57</v>
      </c>
      <c r="F15" s="112">
        <v>22.57</v>
      </c>
      <c r="G15" s="112">
        <v>22.57</v>
      </c>
      <c r="H15" s="112">
        <v>22.57</v>
      </c>
      <c r="I15" s="112">
        <v>22.57</v>
      </c>
    </row>
    <row r="16" ht="15.5" spans="1:10">
      <c r="A16" s="110">
        <f t="shared" si="0"/>
        <v>0.875</v>
      </c>
      <c r="B16" s="111">
        <v>14</v>
      </c>
      <c r="C16" s="112">
        <v>22.57</v>
      </c>
      <c r="D16" s="112">
        <v>22.57</v>
      </c>
      <c r="E16" s="112">
        <v>22.57</v>
      </c>
      <c r="F16" s="112">
        <v>22.57</v>
      </c>
      <c r="G16" s="112">
        <v>22.57</v>
      </c>
      <c r="H16" s="112">
        <v>22.57</v>
      </c>
      <c r="I16" s="112">
        <v>22.57</v>
      </c>
    </row>
    <row r="17" ht="15.5" spans="1:9">
      <c r="A17" s="110">
        <f t="shared" si="0"/>
        <v>0.9375</v>
      </c>
      <c r="B17" s="111">
        <v>15</v>
      </c>
      <c r="C17" s="112">
        <v>22.57</v>
      </c>
      <c r="D17" s="112">
        <v>22.57</v>
      </c>
      <c r="E17" s="112">
        <v>22.57</v>
      </c>
      <c r="F17" s="112">
        <v>22.57</v>
      </c>
      <c r="G17" s="112">
        <v>22.57</v>
      </c>
      <c r="H17" s="112">
        <v>22.57</v>
      </c>
      <c r="I17" s="112">
        <v>22.57</v>
      </c>
    </row>
    <row r="18" ht="15.5" spans="1:9">
      <c r="A18" s="111">
        <v>1</v>
      </c>
      <c r="B18" s="111">
        <f t="shared" ref="B18:B81" si="1">A18*16</f>
        <v>16</v>
      </c>
      <c r="C18" s="112">
        <v>22.57</v>
      </c>
      <c r="D18" s="112">
        <v>22.57</v>
      </c>
      <c r="E18" s="112">
        <v>22.57</v>
      </c>
      <c r="F18" s="112">
        <v>22.57</v>
      </c>
      <c r="G18" s="112">
        <v>22.57</v>
      </c>
      <c r="H18" s="112">
        <v>22.57</v>
      </c>
      <c r="I18" s="112">
        <v>22.57</v>
      </c>
    </row>
    <row r="19" ht="15.5" spans="1:9">
      <c r="A19" s="111">
        <v>2</v>
      </c>
      <c r="B19" s="110">
        <f t="shared" si="1"/>
        <v>32</v>
      </c>
      <c r="C19" s="112">
        <v>22.57</v>
      </c>
      <c r="D19" s="112">
        <v>22.57</v>
      </c>
      <c r="E19" s="112">
        <v>22.57</v>
      </c>
      <c r="F19" s="112">
        <v>22.57</v>
      </c>
      <c r="G19" s="112">
        <v>22.57</v>
      </c>
      <c r="H19" s="112">
        <v>22.57</v>
      </c>
      <c r="I19" s="112">
        <v>22.57</v>
      </c>
    </row>
    <row r="20" ht="15.5" spans="1:9">
      <c r="A20" s="111">
        <v>3</v>
      </c>
      <c r="B20" s="110">
        <f t="shared" si="1"/>
        <v>48</v>
      </c>
      <c r="C20" s="112">
        <v>22.57</v>
      </c>
      <c r="D20" s="112">
        <v>22.57</v>
      </c>
      <c r="E20" s="112">
        <v>22.57</v>
      </c>
      <c r="F20" s="112">
        <v>22.57</v>
      </c>
      <c r="G20" s="112">
        <v>22.57</v>
      </c>
      <c r="H20" s="112">
        <v>24.3</v>
      </c>
      <c r="I20" s="112">
        <v>25.3</v>
      </c>
    </row>
    <row r="21" ht="15.5" spans="1:9">
      <c r="A21" s="111">
        <v>4</v>
      </c>
      <c r="B21" s="110">
        <f t="shared" si="1"/>
        <v>64</v>
      </c>
      <c r="C21" s="112">
        <v>22.57</v>
      </c>
      <c r="D21" s="112">
        <v>22.57</v>
      </c>
      <c r="E21" s="112">
        <v>22.57</v>
      </c>
      <c r="F21" s="112">
        <v>22.57</v>
      </c>
      <c r="G21" s="112">
        <v>25.04</v>
      </c>
      <c r="H21" s="112">
        <v>27.69</v>
      </c>
      <c r="I21" s="112">
        <v>28.73</v>
      </c>
    </row>
    <row r="22" ht="15.5" spans="1:9">
      <c r="A22" s="111">
        <v>5</v>
      </c>
      <c r="B22" s="110">
        <f t="shared" si="1"/>
        <v>80</v>
      </c>
      <c r="C22" s="112">
        <v>22.57</v>
      </c>
      <c r="D22" s="112">
        <v>22.57</v>
      </c>
      <c r="E22" s="112">
        <v>22.57</v>
      </c>
      <c r="F22" s="112">
        <v>22.57</v>
      </c>
      <c r="G22" s="112">
        <v>27.97</v>
      </c>
      <c r="H22" s="112">
        <v>30.78</v>
      </c>
      <c r="I22" s="112">
        <v>32.63</v>
      </c>
    </row>
    <row r="23" ht="15.5" spans="1:9">
      <c r="A23" s="111">
        <v>6</v>
      </c>
      <c r="B23" s="110">
        <f t="shared" si="1"/>
        <v>96</v>
      </c>
      <c r="C23" s="112">
        <v>22.57</v>
      </c>
      <c r="D23" s="112">
        <v>22.57</v>
      </c>
      <c r="E23" s="112">
        <v>22.57</v>
      </c>
      <c r="F23" s="112">
        <v>23.1</v>
      </c>
      <c r="G23" s="112">
        <v>30.5</v>
      </c>
      <c r="H23" s="112">
        <v>33.63</v>
      </c>
      <c r="I23" s="112">
        <v>35.13</v>
      </c>
    </row>
    <row r="24" ht="15.5" spans="1:9">
      <c r="A24" s="111">
        <v>7</v>
      </c>
      <c r="B24" s="110">
        <f t="shared" si="1"/>
        <v>112</v>
      </c>
      <c r="C24" s="112">
        <v>22.57</v>
      </c>
      <c r="D24" s="112">
        <v>22.57</v>
      </c>
      <c r="E24" s="112">
        <v>22.57</v>
      </c>
      <c r="F24" s="112">
        <v>25.25</v>
      </c>
      <c r="G24" s="112">
        <v>34.32</v>
      </c>
      <c r="H24" s="112">
        <v>37.18</v>
      </c>
      <c r="I24" s="112">
        <v>37.89</v>
      </c>
    </row>
    <row r="25" ht="15.5" spans="1:9">
      <c r="A25" s="111">
        <v>8</v>
      </c>
      <c r="B25" s="110">
        <f t="shared" si="1"/>
        <v>128</v>
      </c>
      <c r="C25" s="112">
        <v>22.57</v>
      </c>
      <c r="D25" s="112">
        <v>22.57</v>
      </c>
      <c r="E25" s="112">
        <v>22.57</v>
      </c>
      <c r="F25" s="112">
        <v>27.54</v>
      </c>
      <c r="G25" s="112">
        <v>37.89</v>
      </c>
      <c r="H25" s="112">
        <v>40.97</v>
      </c>
      <c r="I25" s="112">
        <v>42.5</v>
      </c>
    </row>
    <row r="26" ht="15.5" spans="1:9">
      <c r="A26" s="111">
        <v>9</v>
      </c>
      <c r="B26" s="110">
        <f t="shared" si="1"/>
        <v>144</v>
      </c>
      <c r="C26" s="112">
        <v>22.57</v>
      </c>
      <c r="D26" s="112">
        <v>22.57</v>
      </c>
      <c r="E26" s="112">
        <v>22.57</v>
      </c>
      <c r="F26" s="112">
        <v>29.57</v>
      </c>
      <c r="G26" s="112">
        <v>40.38</v>
      </c>
      <c r="H26" s="112">
        <v>44.91</v>
      </c>
      <c r="I26" s="112">
        <v>46.59</v>
      </c>
    </row>
    <row r="27" ht="15.5" spans="1:9">
      <c r="A27" s="111">
        <v>10</v>
      </c>
      <c r="B27" s="110">
        <f t="shared" si="1"/>
        <v>160</v>
      </c>
      <c r="C27" s="112">
        <v>22.57</v>
      </c>
      <c r="D27" s="112">
        <v>22.57</v>
      </c>
      <c r="E27" s="112">
        <v>22.57</v>
      </c>
      <c r="F27" s="112">
        <v>31.58</v>
      </c>
      <c r="G27" s="112">
        <v>44.1</v>
      </c>
      <c r="H27" s="112">
        <v>48.86</v>
      </c>
      <c r="I27" s="112">
        <v>50.45</v>
      </c>
    </row>
    <row r="28" ht="15.5" spans="1:9">
      <c r="A28" s="111">
        <v>11</v>
      </c>
      <c r="B28" s="110">
        <f t="shared" si="1"/>
        <v>176</v>
      </c>
      <c r="C28" s="112">
        <v>22.57</v>
      </c>
      <c r="D28" s="112">
        <v>22.57</v>
      </c>
      <c r="E28" s="112">
        <v>22.57</v>
      </c>
      <c r="F28" s="112">
        <v>34.09</v>
      </c>
      <c r="G28" s="112">
        <v>48.41</v>
      </c>
      <c r="H28" s="112">
        <v>53.45</v>
      </c>
      <c r="I28" s="112">
        <v>55.66</v>
      </c>
    </row>
    <row r="29" ht="15.5" spans="1:9">
      <c r="A29" s="111">
        <v>12</v>
      </c>
      <c r="B29" s="110">
        <f t="shared" si="1"/>
        <v>192</v>
      </c>
      <c r="C29" s="112">
        <v>22.57</v>
      </c>
      <c r="D29" s="112">
        <v>22.57</v>
      </c>
      <c r="E29" s="112">
        <v>23.8</v>
      </c>
      <c r="F29" s="112">
        <v>36</v>
      </c>
      <c r="G29" s="112">
        <v>50.46</v>
      </c>
      <c r="H29" s="112">
        <v>55.73</v>
      </c>
      <c r="I29" s="112">
        <v>57.27</v>
      </c>
    </row>
    <row r="30" ht="15.5" spans="1:9">
      <c r="A30" s="111">
        <v>13</v>
      </c>
      <c r="B30" s="110">
        <f t="shared" si="1"/>
        <v>208</v>
      </c>
      <c r="C30" s="112">
        <v>22.57</v>
      </c>
      <c r="D30" s="112">
        <v>22.57</v>
      </c>
      <c r="E30" s="112">
        <v>24.71</v>
      </c>
      <c r="F30" s="112">
        <v>38.18</v>
      </c>
      <c r="G30" s="112">
        <v>55.57</v>
      </c>
      <c r="H30" s="112">
        <v>60.12</v>
      </c>
      <c r="I30" s="112">
        <v>62.99</v>
      </c>
    </row>
    <row r="31" ht="15.5" spans="1:9">
      <c r="A31" s="111">
        <v>14</v>
      </c>
      <c r="B31" s="110">
        <f t="shared" si="1"/>
        <v>224</v>
      </c>
      <c r="C31" s="112">
        <v>22.57</v>
      </c>
      <c r="D31" s="112">
        <v>22.57</v>
      </c>
      <c r="E31" s="112">
        <v>26.33</v>
      </c>
      <c r="F31" s="112">
        <v>40.38</v>
      </c>
      <c r="G31" s="112">
        <v>57.04</v>
      </c>
      <c r="H31" s="112">
        <v>63.17</v>
      </c>
      <c r="I31" s="112">
        <v>63.95</v>
      </c>
    </row>
    <row r="32" ht="15.5" spans="1:9">
      <c r="A32" s="111">
        <v>15</v>
      </c>
      <c r="B32" s="110">
        <f t="shared" si="1"/>
        <v>240</v>
      </c>
      <c r="C32" s="112">
        <v>22.57</v>
      </c>
      <c r="D32" s="112">
        <v>22.57</v>
      </c>
      <c r="E32" s="112">
        <v>27.61</v>
      </c>
      <c r="F32" s="112">
        <v>41.93</v>
      </c>
      <c r="G32" s="112">
        <v>62.09</v>
      </c>
      <c r="H32" s="112">
        <v>65.96</v>
      </c>
      <c r="I32" s="112">
        <v>68.77</v>
      </c>
    </row>
    <row r="33" ht="15.5" spans="1:9">
      <c r="A33" s="111">
        <v>16</v>
      </c>
      <c r="B33" s="110">
        <f t="shared" si="1"/>
        <v>256</v>
      </c>
      <c r="C33" s="112">
        <v>22.57</v>
      </c>
      <c r="D33" s="112">
        <v>22.69</v>
      </c>
      <c r="E33" s="112">
        <v>28.74</v>
      </c>
      <c r="F33" s="112">
        <v>43.29</v>
      </c>
      <c r="G33" s="112">
        <v>64.69</v>
      </c>
      <c r="H33" s="112">
        <v>69.34</v>
      </c>
      <c r="I33" s="112">
        <v>71.69</v>
      </c>
    </row>
    <row r="34" ht="15.5" spans="1:9">
      <c r="A34" s="111">
        <v>17</v>
      </c>
      <c r="B34" s="110">
        <f t="shared" si="1"/>
        <v>272</v>
      </c>
      <c r="C34" s="112">
        <v>22.57</v>
      </c>
      <c r="D34" s="112">
        <v>23.38</v>
      </c>
      <c r="E34" s="112">
        <v>29.92</v>
      </c>
      <c r="F34" s="112">
        <v>45.37</v>
      </c>
      <c r="G34" s="112">
        <v>67.59</v>
      </c>
      <c r="H34" s="112">
        <v>73.05</v>
      </c>
      <c r="I34" s="112">
        <v>75.01</v>
      </c>
    </row>
    <row r="35" ht="15.5" spans="1:9">
      <c r="A35" s="111">
        <v>18</v>
      </c>
      <c r="B35" s="110">
        <f t="shared" si="1"/>
        <v>288</v>
      </c>
      <c r="C35" s="112">
        <v>22.57</v>
      </c>
      <c r="D35" s="112">
        <v>24.15</v>
      </c>
      <c r="E35" s="112">
        <v>31.08</v>
      </c>
      <c r="F35" s="112">
        <v>46.94</v>
      </c>
      <c r="G35" s="112">
        <v>70.4</v>
      </c>
      <c r="H35" s="112">
        <v>74.14</v>
      </c>
      <c r="I35" s="112">
        <v>76.45</v>
      </c>
    </row>
    <row r="36" ht="15.5" spans="1:9">
      <c r="A36" s="111">
        <v>19</v>
      </c>
      <c r="B36" s="110">
        <f t="shared" si="1"/>
        <v>304</v>
      </c>
      <c r="C36" s="112">
        <v>22.57</v>
      </c>
      <c r="D36" s="112">
        <v>24.81</v>
      </c>
      <c r="E36" s="112">
        <v>31.93</v>
      </c>
      <c r="F36" s="112">
        <v>48.86</v>
      </c>
      <c r="G36" s="112">
        <v>72.93</v>
      </c>
      <c r="H36" s="112">
        <v>79.77</v>
      </c>
      <c r="I36" s="112">
        <v>82.05</v>
      </c>
    </row>
    <row r="37" ht="15.5" spans="1:9">
      <c r="A37" s="111">
        <v>20</v>
      </c>
      <c r="B37" s="110">
        <f t="shared" si="1"/>
        <v>320</v>
      </c>
      <c r="C37" s="112">
        <v>22.57</v>
      </c>
      <c r="D37" s="112">
        <v>25.88</v>
      </c>
      <c r="E37" s="112">
        <v>33.16</v>
      </c>
      <c r="F37" s="112">
        <v>51.14</v>
      </c>
      <c r="G37" s="112">
        <v>75.53</v>
      </c>
      <c r="H37" s="112">
        <v>82.51</v>
      </c>
      <c r="I37" s="112">
        <v>85.1</v>
      </c>
    </row>
    <row r="38" ht="15.5" spans="1:9">
      <c r="A38" s="111">
        <v>21</v>
      </c>
      <c r="B38" s="110">
        <f t="shared" si="1"/>
        <v>336</v>
      </c>
      <c r="C38" s="112">
        <v>23.03</v>
      </c>
      <c r="D38" s="112">
        <v>26.89</v>
      </c>
      <c r="E38" s="112">
        <v>34.41</v>
      </c>
      <c r="F38" s="112">
        <v>52.87</v>
      </c>
      <c r="G38" s="112">
        <v>75.83</v>
      </c>
      <c r="H38" s="112">
        <v>85.35</v>
      </c>
      <c r="I38" s="112">
        <v>88.02</v>
      </c>
    </row>
    <row r="39" ht="15.5" spans="1:9">
      <c r="A39" s="111">
        <v>22</v>
      </c>
      <c r="B39" s="110">
        <f t="shared" si="1"/>
        <v>352</v>
      </c>
      <c r="C39" s="112">
        <v>23.75</v>
      </c>
      <c r="D39" s="112">
        <v>28.19</v>
      </c>
      <c r="E39" s="112">
        <v>35.34</v>
      </c>
      <c r="F39" s="112">
        <v>54.35</v>
      </c>
      <c r="G39" s="112">
        <v>80.76</v>
      </c>
      <c r="H39" s="112">
        <v>88.61</v>
      </c>
      <c r="I39" s="112">
        <v>91.44</v>
      </c>
    </row>
    <row r="40" ht="15.5" spans="1:9">
      <c r="A40" s="111">
        <v>23</v>
      </c>
      <c r="B40" s="110">
        <f t="shared" si="1"/>
        <v>368</v>
      </c>
      <c r="C40" s="112">
        <v>24.33</v>
      </c>
      <c r="D40" s="112">
        <v>28.81</v>
      </c>
      <c r="E40" s="112">
        <v>36.61</v>
      </c>
      <c r="F40" s="112">
        <v>55.9</v>
      </c>
      <c r="G40" s="112">
        <v>83.69</v>
      </c>
      <c r="H40" s="112">
        <v>91.52</v>
      </c>
      <c r="I40" s="112">
        <v>94.57</v>
      </c>
    </row>
    <row r="41" ht="15.5" spans="1:9">
      <c r="A41" s="111">
        <v>24</v>
      </c>
      <c r="B41" s="110">
        <f t="shared" si="1"/>
        <v>384</v>
      </c>
      <c r="C41" s="112">
        <v>24.88</v>
      </c>
      <c r="D41" s="112">
        <v>29.96</v>
      </c>
      <c r="E41" s="112">
        <v>37.79</v>
      </c>
      <c r="F41" s="112">
        <v>58.08</v>
      </c>
      <c r="G41" s="112">
        <v>86.72</v>
      </c>
      <c r="H41" s="112">
        <v>93.68</v>
      </c>
      <c r="I41" s="112">
        <v>95.57</v>
      </c>
    </row>
    <row r="42" ht="15.5" spans="1:9">
      <c r="A42" s="111">
        <v>25</v>
      </c>
      <c r="B42" s="110">
        <f t="shared" si="1"/>
        <v>400</v>
      </c>
      <c r="C42" s="112">
        <v>25.69</v>
      </c>
      <c r="D42" s="112">
        <v>30.81</v>
      </c>
      <c r="E42" s="112">
        <v>38.5</v>
      </c>
      <c r="F42" s="112">
        <v>60.06</v>
      </c>
      <c r="G42" s="112">
        <v>89.55</v>
      </c>
      <c r="H42" s="112">
        <v>98.46</v>
      </c>
      <c r="I42" s="112">
        <v>102.57</v>
      </c>
    </row>
    <row r="43" ht="15.5" spans="1:9">
      <c r="A43" s="111">
        <v>26</v>
      </c>
      <c r="B43" s="110">
        <f t="shared" si="1"/>
        <v>416</v>
      </c>
      <c r="C43" s="112">
        <v>26.45</v>
      </c>
      <c r="D43" s="112">
        <v>31.66</v>
      </c>
      <c r="E43" s="112">
        <v>39.93</v>
      </c>
      <c r="F43" s="112">
        <v>62.03</v>
      </c>
      <c r="G43" s="112">
        <v>92.6</v>
      </c>
      <c r="H43" s="112">
        <v>101.83</v>
      </c>
      <c r="I43" s="112">
        <v>105.39</v>
      </c>
    </row>
    <row r="44" ht="15.5" spans="1:9">
      <c r="A44" s="111">
        <v>27</v>
      </c>
      <c r="B44" s="110">
        <f t="shared" si="1"/>
        <v>432</v>
      </c>
      <c r="C44" s="112">
        <v>27.3</v>
      </c>
      <c r="D44" s="112">
        <v>32.59</v>
      </c>
      <c r="E44" s="112">
        <v>40.95</v>
      </c>
      <c r="F44" s="112">
        <v>64.23</v>
      </c>
      <c r="G44" s="112">
        <v>95.73</v>
      </c>
      <c r="H44" s="112">
        <v>105.26</v>
      </c>
      <c r="I44" s="112">
        <v>108.7</v>
      </c>
    </row>
    <row r="45" ht="15.5" spans="1:9">
      <c r="A45" s="111">
        <v>28</v>
      </c>
      <c r="B45" s="110">
        <f t="shared" si="1"/>
        <v>448</v>
      </c>
      <c r="C45" s="112">
        <v>28.17</v>
      </c>
      <c r="D45" s="112">
        <v>33.66</v>
      </c>
      <c r="E45" s="112">
        <v>41.89</v>
      </c>
      <c r="F45" s="112">
        <v>65.76</v>
      </c>
      <c r="G45" s="112">
        <v>98.19</v>
      </c>
      <c r="H45" s="112">
        <v>107.97</v>
      </c>
      <c r="I45" s="112">
        <v>111.33</v>
      </c>
    </row>
    <row r="46" ht="15.5" spans="1:9">
      <c r="A46" s="111">
        <v>29</v>
      </c>
      <c r="B46" s="110">
        <f t="shared" si="1"/>
        <v>464</v>
      </c>
      <c r="C46" s="112">
        <v>28.9</v>
      </c>
      <c r="D46" s="112">
        <v>34.28</v>
      </c>
      <c r="E46" s="112">
        <v>43.13</v>
      </c>
      <c r="F46" s="112">
        <v>67.32</v>
      </c>
      <c r="G46" s="112">
        <v>100.82</v>
      </c>
      <c r="H46" s="112">
        <v>110.67</v>
      </c>
      <c r="I46" s="112">
        <v>114.66</v>
      </c>
    </row>
    <row r="47" ht="15.5" spans="1:9">
      <c r="A47" s="111">
        <v>30</v>
      </c>
      <c r="B47" s="110">
        <f t="shared" si="1"/>
        <v>480</v>
      </c>
      <c r="C47" s="112">
        <v>29.01</v>
      </c>
      <c r="D47" s="112">
        <v>35.21</v>
      </c>
      <c r="E47" s="112">
        <v>44.62</v>
      </c>
      <c r="F47" s="112">
        <v>69.53</v>
      </c>
      <c r="G47" s="112">
        <v>103.59</v>
      </c>
      <c r="H47" s="112">
        <v>113.66</v>
      </c>
      <c r="I47" s="112">
        <v>117.56</v>
      </c>
    </row>
    <row r="48" ht="15.5" spans="1:9">
      <c r="A48" s="111">
        <v>31</v>
      </c>
      <c r="B48" s="110">
        <f t="shared" si="1"/>
        <v>496</v>
      </c>
      <c r="C48" s="112">
        <v>29.13</v>
      </c>
      <c r="D48" s="112">
        <v>36.4</v>
      </c>
      <c r="E48" s="112">
        <v>45.82</v>
      </c>
      <c r="F48" s="112">
        <v>71.09</v>
      </c>
      <c r="G48" s="112">
        <v>105.95</v>
      </c>
      <c r="H48" s="112">
        <v>116.13</v>
      </c>
      <c r="I48" s="112">
        <v>120.7</v>
      </c>
    </row>
    <row r="49" ht="15.5" spans="1:9">
      <c r="A49" s="111">
        <v>32</v>
      </c>
      <c r="B49" s="110">
        <f t="shared" si="1"/>
        <v>512</v>
      </c>
      <c r="C49" s="112">
        <v>29.25</v>
      </c>
      <c r="D49" s="112">
        <v>37.19</v>
      </c>
      <c r="E49" s="112">
        <v>47.14</v>
      </c>
      <c r="F49" s="112">
        <v>72.81</v>
      </c>
      <c r="G49" s="112">
        <v>109.05</v>
      </c>
      <c r="H49" s="112">
        <v>119.35</v>
      </c>
      <c r="I49" s="112">
        <v>123.61</v>
      </c>
    </row>
    <row r="50" ht="15.5" spans="1:9">
      <c r="A50" s="111">
        <v>33</v>
      </c>
      <c r="B50" s="110">
        <f t="shared" si="1"/>
        <v>528</v>
      </c>
      <c r="C50" s="112">
        <v>31.68</v>
      </c>
      <c r="D50" s="112">
        <v>38.16</v>
      </c>
      <c r="E50" s="112">
        <v>48.44</v>
      </c>
      <c r="F50" s="112">
        <v>74.36</v>
      </c>
      <c r="G50" s="112">
        <v>111.98</v>
      </c>
      <c r="H50" s="112">
        <v>122.11</v>
      </c>
      <c r="I50" s="112">
        <v>126.75</v>
      </c>
    </row>
    <row r="51" ht="15.5" spans="1:9">
      <c r="A51" s="111">
        <v>34</v>
      </c>
      <c r="B51" s="110">
        <f t="shared" si="1"/>
        <v>544</v>
      </c>
      <c r="C51" s="112">
        <v>32.67</v>
      </c>
      <c r="D51" s="112">
        <v>38.87</v>
      </c>
      <c r="E51" s="112">
        <v>49.46</v>
      </c>
      <c r="F51" s="112">
        <v>76.96</v>
      </c>
      <c r="G51" s="112">
        <v>115.37</v>
      </c>
      <c r="H51" s="112">
        <v>125.13</v>
      </c>
      <c r="I51" s="112">
        <v>129.87</v>
      </c>
    </row>
    <row r="52" ht="15.5" spans="1:9">
      <c r="A52" s="111">
        <v>35</v>
      </c>
      <c r="B52" s="110">
        <f t="shared" si="1"/>
        <v>560</v>
      </c>
      <c r="C52" s="112">
        <v>33.33</v>
      </c>
      <c r="D52" s="112">
        <v>40.05</v>
      </c>
      <c r="E52" s="112">
        <v>50.53</v>
      </c>
      <c r="F52" s="112">
        <v>78.48</v>
      </c>
      <c r="G52" s="112">
        <v>118.84</v>
      </c>
      <c r="H52" s="112">
        <v>128.28</v>
      </c>
      <c r="I52" s="112">
        <v>130.77</v>
      </c>
    </row>
    <row r="53" ht="15.5" spans="1:9">
      <c r="A53" s="111">
        <v>36</v>
      </c>
      <c r="B53" s="110">
        <f t="shared" si="1"/>
        <v>576</v>
      </c>
      <c r="C53" s="112">
        <v>33.86</v>
      </c>
      <c r="D53" s="112">
        <v>40.93</v>
      </c>
      <c r="E53" s="112">
        <v>51.57</v>
      </c>
      <c r="F53" s="112">
        <v>80.1</v>
      </c>
      <c r="G53" s="112">
        <v>122.03</v>
      </c>
      <c r="H53" s="112">
        <v>132.31</v>
      </c>
      <c r="I53" s="112">
        <v>134.27</v>
      </c>
    </row>
    <row r="54" ht="15.5" spans="1:9">
      <c r="A54" s="111">
        <v>37</v>
      </c>
      <c r="B54" s="110">
        <f t="shared" si="1"/>
        <v>592</v>
      </c>
      <c r="C54" s="112">
        <v>34.48</v>
      </c>
      <c r="D54" s="112">
        <v>41.51</v>
      </c>
      <c r="E54" s="112">
        <v>52.83</v>
      </c>
      <c r="F54" s="112">
        <v>82.16</v>
      </c>
      <c r="G54" s="112">
        <v>125.35</v>
      </c>
      <c r="H54" s="112">
        <v>135.85</v>
      </c>
      <c r="I54" s="112">
        <v>140.08</v>
      </c>
    </row>
    <row r="55" ht="15.5" spans="1:9">
      <c r="A55" s="111">
        <v>38</v>
      </c>
      <c r="B55" s="110">
        <f t="shared" si="1"/>
        <v>608</v>
      </c>
      <c r="C55" s="112">
        <v>35.06</v>
      </c>
      <c r="D55" s="112">
        <v>42.15</v>
      </c>
      <c r="E55" s="112">
        <v>54.16</v>
      </c>
      <c r="F55" s="112">
        <v>83.82</v>
      </c>
      <c r="G55" s="112">
        <v>128.53</v>
      </c>
      <c r="H55" s="112">
        <v>139.37</v>
      </c>
      <c r="I55" s="112">
        <v>143.91</v>
      </c>
    </row>
    <row r="56" ht="15.5" spans="1:9">
      <c r="A56" s="111">
        <v>39</v>
      </c>
      <c r="B56" s="110">
        <f t="shared" si="1"/>
        <v>624</v>
      </c>
      <c r="C56" s="112">
        <v>36.17</v>
      </c>
      <c r="D56" s="112">
        <v>43.27</v>
      </c>
      <c r="E56" s="112">
        <v>55.08</v>
      </c>
      <c r="F56" s="112">
        <v>85.5</v>
      </c>
      <c r="G56" s="112">
        <v>131.65</v>
      </c>
      <c r="H56" s="112">
        <v>143.09</v>
      </c>
      <c r="I56" s="112">
        <v>147.64</v>
      </c>
    </row>
    <row r="57" ht="15.5" spans="1:9">
      <c r="A57" s="111">
        <v>40</v>
      </c>
      <c r="B57" s="110">
        <f t="shared" si="1"/>
        <v>640</v>
      </c>
      <c r="C57" s="112">
        <v>36.27</v>
      </c>
      <c r="D57" s="112">
        <v>44.4</v>
      </c>
      <c r="E57" s="112">
        <v>56.39</v>
      </c>
      <c r="F57" s="112">
        <v>87.41</v>
      </c>
      <c r="G57" s="112">
        <v>134.64</v>
      </c>
      <c r="H57" s="112">
        <v>146.58</v>
      </c>
      <c r="I57" s="112">
        <v>150.9</v>
      </c>
    </row>
    <row r="58" ht="15.5" spans="1:9">
      <c r="A58" s="111">
        <v>41</v>
      </c>
      <c r="B58" s="110">
        <f t="shared" si="1"/>
        <v>656</v>
      </c>
      <c r="C58" s="112">
        <v>38.04</v>
      </c>
      <c r="D58" s="112">
        <v>45.48</v>
      </c>
      <c r="E58" s="112">
        <v>57.05</v>
      </c>
      <c r="F58" s="112">
        <v>89.02</v>
      </c>
      <c r="G58" s="112">
        <v>137.67</v>
      </c>
      <c r="H58" s="112">
        <v>150.42</v>
      </c>
      <c r="I58" s="112">
        <v>154.98</v>
      </c>
    </row>
    <row r="59" ht="15.5" spans="1:9">
      <c r="A59" s="111">
        <v>42</v>
      </c>
      <c r="B59" s="110">
        <f t="shared" si="1"/>
        <v>672</v>
      </c>
      <c r="C59" s="112">
        <v>38.66</v>
      </c>
      <c r="D59" s="112">
        <v>46.59</v>
      </c>
      <c r="E59" s="112">
        <v>58.21</v>
      </c>
      <c r="F59" s="112">
        <v>90.91</v>
      </c>
      <c r="G59" s="112">
        <v>140.63</v>
      </c>
      <c r="H59" s="112">
        <v>154.12</v>
      </c>
      <c r="I59" s="112">
        <v>158.88</v>
      </c>
    </row>
    <row r="60" ht="15.5" spans="1:9">
      <c r="A60" s="111">
        <v>43</v>
      </c>
      <c r="B60" s="110">
        <f t="shared" si="1"/>
        <v>688</v>
      </c>
      <c r="C60" s="112">
        <v>39.47</v>
      </c>
      <c r="D60" s="112">
        <v>47.56</v>
      </c>
      <c r="E60" s="112">
        <v>59.1</v>
      </c>
      <c r="F60" s="112">
        <v>92.42</v>
      </c>
      <c r="G60" s="112">
        <v>143.94</v>
      </c>
      <c r="H60" s="112">
        <v>156.98</v>
      </c>
      <c r="I60" s="112">
        <v>162.19</v>
      </c>
    </row>
    <row r="61" ht="15.5" spans="1:9">
      <c r="A61" s="111">
        <v>44</v>
      </c>
      <c r="B61" s="110">
        <f t="shared" si="1"/>
        <v>704</v>
      </c>
      <c r="C61" s="112">
        <v>40.14</v>
      </c>
      <c r="D61" s="112">
        <v>48.14</v>
      </c>
      <c r="E61" s="112">
        <v>60.44</v>
      </c>
      <c r="F61" s="112">
        <v>94.07</v>
      </c>
      <c r="G61" s="112">
        <v>146.73</v>
      </c>
      <c r="H61" s="112">
        <v>159.65</v>
      </c>
      <c r="I61" s="112">
        <v>165.39</v>
      </c>
    </row>
    <row r="62" ht="15.5" spans="1:9">
      <c r="A62" s="111">
        <v>45</v>
      </c>
      <c r="B62" s="110">
        <f t="shared" si="1"/>
        <v>720</v>
      </c>
      <c r="C62" s="112">
        <v>40.32</v>
      </c>
      <c r="D62" s="112">
        <v>49.32</v>
      </c>
      <c r="E62" s="112">
        <v>61.32</v>
      </c>
      <c r="F62" s="112">
        <v>95.38</v>
      </c>
      <c r="G62" s="112">
        <v>149.42</v>
      </c>
      <c r="H62" s="112">
        <v>162.63</v>
      </c>
      <c r="I62" s="112">
        <v>167.85</v>
      </c>
    </row>
    <row r="63" ht="15.5" spans="1:9">
      <c r="A63" s="111">
        <v>46</v>
      </c>
      <c r="B63" s="110">
        <f t="shared" si="1"/>
        <v>736</v>
      </c>
      <c r="C63" s="112">
        <v>41.57</v>
      </c>
      <c r="D63" s="112">
        <v>49.88</v>
      </c>
      <c r="E63" s="112">
        <v>62.55</v>
      </c>
      <c r="F63" s="112">
        <v>96.34</v>
      </c>
      <c r="G63" s="112">
        <v>151.94</v>
      </c>
      <c r="H63" s="112">
        <v>165.25</v>
      </c>
      <c r="I63" s="112">
        <v>171.91</v>
      </c>
    </row>
    <row r="64" ht="15.5" spans="1:9">
      <c r="A64" s="111">
        <v>47</v>
      </c>
      <c r="B64" s="110">
        <f t="shared" si="1"/>
        <v>752</v>
      </c>
      <c r="C64" s="112">
        <v>41.7</v>
      </c>
      <c r="D64" s="112">
        <v>49.99</v>
      </c>
      <c r="E64" s="112">
        <v>63.59</v>
      </c>
      <c r="F64" s="112">
        <v>96.63</v>
      </c>
      <c r="G64" s="112">
        <v>152.21</v>
      </c>
      <c r="H64" s="112">
        <v>165.52</v>
      </c>
      <c r="I64" s="112">
        <v>172.42</v>
      </c>
    </row>
    <row r="65" ht="15.5" spans="1:9">
      <c r="A65" s="111">
        <v>48</v>
      </c>
      <c r="B65" s="110">
        <f t="shared" si="1"/>
        <v>768</v>
      </c>
      <c r="C65" s="112">
        <v>42.57</v>
      </c>
      <c r="D65" s="112">
        <v>52</v>
      </c>
      <c r="E65" s="112">
        <v>64.72</v>
      </c>
      <c r="F65" s="112">
        <v>96.92</v>
      </c>
      <c r="G65" s="112">
        <v>157.67</v>
      </c>
      <c r="H65" s="112">
        <v>170.68</v>
      </c>
      <c r="I65" s="112">
        <v>174.96</v>
      </c>
    </row>
    <row r="66" ht="15.5" spans="1:9">
      <c r="A66" s="111">
        <v>49</v>
      </c>
      <c r="B66" s="110">
        <f t="shared" si="1"/>
        <v>784</v>
      </c>
      <c r="C66" s="112">
        <v>42.69</v>
      </c>
      <c r="D66" s="112">
        <v>52.2</v>
      </c>
      <c r="E66" s="112">
        <v>64.85</v>
      </c>
      <c r="F66" s="112">
        <v>96.96</v>
      </c>
      <c r="G66" s="112">
        <v>160.34</v>
      </c>
      <c r="H66" s="112">
        <v>171.21</v>
      </c>
      <c r="I66" s="112">
        <v>175.11</v>
      </c>
    </row>
    <row r="67" ht="15.5" spans="1:9">
      <c r="A67" s="111">
        <v>50</v>
      </c>
      <c r="B67" s="110">
        <f t="shared" si="1"/>
        <v>800</v>
      </c>
      <c r="C67" s="112">
        <v>42.8</v>
      </c>
      <c r="D67" s="112">
        <v>52.33</v>
      </c>
      <c r="E67" s="112">
        <v>66.88</v>
      </c>
      <c r="F67" s="112">
        <v>97.04</v>
      </c>
      <c r="G67" s="112">
        <v>163.09</v>
      </c>
      <c r="H67" s="112">
        <v>171.91</v>
      </c>
      <c r="I67" s="112">
        <v>175.37</v>
      </c>
    </row>
    <row r="68" ht="15.5" spans="1:9">
      <c r="A68" s="111">
        <v>51</v>
      </c>
      <c r="B68" s="110">
        <f t="shared" si="1"/>
        <v>816</v>
      </c>
      <c r="C68" s="112">
        <v>43.2</v>
      </c>
      <c r="D68" s="112">
        <v>52.56</v>
      </c>
      <c r="E68" s="112">
        <v>68.35</v>
      </c>
      <c r="F68" s="112">
        <v>100.17</v>
      </c>
      <c r="G68" s="112">
        <v>170.94</v>
      </c>
      <c r="H68" s="112">
        <v>176.74</v>
      </c>
      <c r="I68" s="112">
        <v>180.29</v>
      </c>
    </row>
    <row r="69" ht="15.5" spans="1:9">
      <c r="A69" s="111">
        <v>52</v>
      </c>
      <c r="B69" s="110">
        <f t="shared" si="1"/>
        <v>832</v>
      </c>
      <c r="C69" s="112">
        <v>46.24</v>
      </c>
      <c r="D69" s="112">
        <v>55.36</v>
      </c>
      <c r="E69" s="112">
        <v>70.55</v>
      </c>
      <c r="F69" s="112">
        <v>105.68</v>
      </c>
      <c r="G69" s="112">
        <v>173.54</v>
      </c>
      <c r="H69" s="112">
        <v>187.47</v>
      </c>
      <c r="I69" s="112">
        <v>192.13</v>
      </c>
    </row>
    <row r="70" ht="15.5" spans="1:9">
      <c r="A70" s="111">
        <v>53</v>
      </c>
      <c r="B70" s="110">
        <f t="shared" si="1"/>
        <v>848</v>
      </c>
      <c r="C70" s="112">
        <v>47.17</v>
      </c>
      <c r="D70" s="112">
        <v>56.48</v>
      </c>
      <c r="E70" s="112">
        <v>71.54</v>
      </c>
      <c r="F70" s="112">
        <v>106.45</v>
      </c>
      <c r="G70" s="112">
        <v>173.8</v>
      </c>
      <c r="H70" s="112">
        <v>190.74</v>
      </c>
      <c r="I70" s="112">
        <v>193.27</v>
      </c>
    </row>
    <row r="71" ht="15.5" spans="1:9">
      <c r="A71" s="111">
        <v>54</v>
      </c>
      <c r="B71" s="110">
        <f t="shared" si="1"/>
        <v>864</v>
      </c>
      <c r="C71" s="112">
        <v>47.84</v>
      </c>
      <c r="D71" s="112">
        <v>57.17</v>
      </c>
      <c r="E71" s="112">
        <v>72.66</v>
      </c>
      <c r="F71" s="112">
        <v>106.7</v>
      </c>
      <c r="G71" s="112">
        <v>174.18</v>
      </c>
      <c r="H71" s="112">
        <v>191.52</v>
      </c>
      <c r="I71" s="112">
        <v>193.52</v>
      </c>
    </row>
    <row r="72" ht="15.5" spans="1:9">
      <c r="A72" s="111">
        <v>55</v>
      </c>
      <c r="B72" s="110">
        <f t="shared" si="1"/>
        <v>880</v>
      </c>
      <c r="C72" s="112">
        <v>48.71</v>
      </c>
      <c r="D72" s="112">
        <v>57.4</v>
      </c>
      <c r="E72" s="112">
        <v>73.29</v>
      </c>
      <c r="F72" s="112">
        <v>106.95</v>
      </c>
      <c r="G72" s="112">
        <v>181.63</v>
      </c>
      <c r="H72" s="112">
        <v>191.75</v>
      </c>
      <c r="I72" s="112">
        <v>193.75</v>
      </c>
    </row>
    <row r="73" ht="15.5" spans="1:9">
      <c r="A73" s="111">
        <v>56</v>
      </c>
      <c r="B73" s="110">
        <f t="shared" si="1"/>
        <v>896</v>
      </c>
      <c r="C73" s="112">
        <v>49.1</v>
      </c>
      <c r="D73" s="112">
        <v>57.63</v>
      </c>
      <c r="E73" s="112">
        <v>73.53</v>
      </c>
      <c r="F73" s="112">
        <v>107.26</v>
      </c>
      <c r="G73" s="112">
        <v>182.4</v>
      </c>
      <c r="H73" s="112">
        <v>192</v>
      </c>
      <c r="I73" s="112">
        <v>194.01</v>
      </c>
    </row>
    <row r="74" ht="15.5" spans="1:9">
      <c r="A74" s="111">
        <v>57</v>
      </c>
      <c r="B74" s="110">
        <f t="shared" si="1"/>
        <v>912</v>
      </c>
      <c r="C74" s="112">
        <v>49.33</v>
      </c>
      <c r="D74" s="112">
        <v>60.12</v>
      </c>
      <c r="E74" s="112">
        <v>75.79</v>
      </c>
      <c r="F74" s="112">
        <v>113.31</v>
      </c>
      <c r="G74" s="112">
        <v>188.33</v>
      </c>
      <c r="H74" s="112">
        <v>195.87</v>
      </c>
      <c r="I74" s="112">
        <v>197.92</v>
      </c>
    </row>
    <row r="75" ht="15.5" spans="1:9">
      <c r="A75" s="111">
        <v>58</v>
      </c>
      <c r="B75" s="110">
        <f t="shared" si="1"/>
        <v>928</v>
      </c>
      <c r="C75" s="112">
        <v>49.56</v>
      </c>
      <c r="D75" s="112">
        <v>60.37</v>
      </c>
      <c r="E75" s="112">
        <v>76.02</v>
      </c>
      <c r="F75" s="112">
        <v>113.93</v>
      </c>
      <c r="G75" s="112">
        <v>191.89</v>
      </c>
      <c r="H75" s="112">
        <v>196.28</v>
      </c>
      <c r="I75" s="112">
        <v>198.32</v>
      </c>
    </row>
    <row r="76" ht="15.5" spans="1:9">
      <c r="A76" s="111">
        <v>59</v>
      </c>
      <c r="B76" s="110">
        <f t="shared" si="1"/>
        <v>944</v>
      </c>
      <c r="C76" s="112">
        <v>49.8</v>
      </c>
      <c r="D76" s="112">
        <v>60.72</v>
      </c>
      <c r="E76" s="112">
        <v>78.64</v>
      </c>
      <c r="F76" s="112">
        <v>114.18</v>
      </c>
      <c r="G76" s="112">
        <v>194.81</v>
      </c>
      <c r="H76" s="112">
        <v>198.71</v>
      </c>
      <c r="I76" s="112">
        <v>202.69</v>
      </c>
    </row>
    <row r="77" ht="15.5" spans="1:9">
      <c r="A77" s="111">
        <v>60</v>
      </c>
      <c r="B77" s="110">
        <f t="shared" si="1"/>
        <v>960</v>
      </c>
      <c r="C77" s="112">
        <v>50.03</v>
      </c>
      <c r="D77" s="112">
        <v>60.95</v>
      </c>
      <c r="E77" s="112">
        <v>79.08</v>
      </c>
      <c r="F77" s="112">
        <v>117.36</v>
      </c>
      <c r="G77" s="112">
        <v>195.84</v>
      </c>
      <c r="H77" s="112">
        <v>203.11</v>
      </c>
      <c r="I77" s="112">
        <v>207.18</v>
      </c>
    </row>
    <row r="78" ht="15.5" spans="1:9">
      <c r="A78" s="111">
        <v>61</v>
      </c>
      <c r="B78" s="110">
        <f t="shared" si="1"/>
        <v>976</v>
      </c>
      <c r="C78" s="112">
        <v>50.25</v>
      </c>
      <c r="D78" s="112">
        <v>61.18</v>
      </c>
      <c r="E78" s="112">
        <v>79.31</v>
      </c>
      <c r="F78" s="112">
        <v>117.68</v>
      </c>
      <c r="G78" s="112">
        <v>198.63</v>
      </c>
      <c r="H78" s="112">
        <v>204.78</v>
      </c>
      <c r="I78" s="112">
        <v>208.7</v>
      </c>
    </row>
    <row r="79" ht="15.5" spans="1:9">
      <c r="A79" s="111">
        <v>62</v>
      </c>
      <c r="B79" s="110">
        <f t="shared" si="1"/>
        <v>992</v>
      </c>
      <c r="C79" s="112">
        <v>50.48</v>
      </c>
      <c r="D79" s="112">
        <v>61.41</v>
      </c>
      <c r="E79" s="112">
        <v>79.56</v>
      </c>
      <c r="F79" s="112">
        <v>117.92</v>
      </c>
      <c r="G79" s="112">
        <v>199.06</v>
      </c>
      <c r="H79" s="112">
        <v>205.16</v>
      </c>
      <c r="I79" s="112">
        <v>209.07</v>
      </c>
    </row>
    <row r="80" ht="15.5" spans="1:9">
      <c r="A80" s="111">
        <v>63</v>
      </c>
      <c r="B80" s="110">
        <f t="shared" si="1"/>
        <v>1008</v>
      </c>
      <c r="C80" s="112">
        <v>50.71</v>
      </c>
      <c r="D80" s="112">
        <v>61.64</v>
      </c>
      <c r="E80" s="112">
        <v>79.77</v>
      </c>
      <c r="F80" s="112">
        <v>120.37</v>
      </c>
      <c r="G80" s="112">
        <v>207.66</v>
      </c>
      <c r="H80" s="112">
        <v>212.48</v>
      </c>
      <c r="I80" s="112">
        <v>216.73</v>
      </c>
    </row>
    <row r="81" ht="15.5" spans="1:9">
      <c r="A81" s="111">
        <v>64</v>
      </c>
      <c r="B81" s="110">
        <f t="shared" si="1"/>
        <v>1024</v>
      </c>
      <c r="C81" s="112">
        <v>53.89</v>
      </c>
      <c r="D81" s="112">
        <v>62.84</v>
      </c>
      <c r="E81" s="112">
        <v>80</v>
      </c>
      <c r="F81" s="112">
        <v>120.61</v>
      </c>
      <c r="G81" s="112">
        <v>209.03</v>
      </c>
      <c r="H81" s="112">
        <v>213.21</v>
      </c>
      <c r="I81" s="112">
        <v>217.49</v>
      </c>
    </row>
    <row r="82" ht="15.5" spans="1:9">
      <c r="A82" s="111">
        <v>65</v>
      </c>
      <c r="B82" s="110">
        <f t="shared" ref="B82:B145" si="2">A82*16</f>
        <v>1040</v>
      </c>
      <c r="C82" s="112">
        <v>55.92</v>
      </c>
      <c r="D82" s="112">
        <v>64.5</v>
      </c>
      <c r="E82" s="112">
        <v>80.23</v>
      </c>
      <c r="F82" s="112">
        <v>123.81</v>
      </c>
      <c r="G82" s="112">
        <v>209.25</v>
      </c>
      <c r="H82" s="112">
        <v>213.44</v>
      </c>
      <c r="I82" s="112">
        <v>217.71</v>
      </c>
    </row>
    <row r="83" ht="15.5" spans="1:9">
      <c r="A83" s="111">
        <v>66</v>
      </c>
      <c r="B83" s="110">
        <f t="shared" si="2"/>
        <v>1056</v>
      </c>
      <c r="C83" s="112">
        <v>56.15</v>
      </c>
      <c r="D83" s="112">
        <v>64.73</v>
      </c>
      <c r="E83" s="112">
        <v>81.14</v>
      </c>
      <c r="F83" s="112">
        <v>124.13</v>
      </c>
      <c r="G83" s="112">
        <v>209.61</v>
      </c>
      <c r="H83" s="112">
        <v>213.81</v>
      </c>
      <c r="I83" s="112">
        <v>218.09</v>
      </c>
    </row>
    <row r="84" ht="15.5" spans="1:9">
      <c r="A84" s="111">
        <v>67</v>
      </c>
      <c r="B84" s="110">
        <f t="shared" si="2"/>
        <v>1072</v>
      </c>
      <c r="C84" s="112">
        <v>56.38</v>
      </c>
      <c r="D84" s="112">
        <v>66.03</v>
      </c>
      <c r="E84" s="112">
        <v>81.32</v>
      </c>
      <c r="F84" s="112">
        <v>124.39</v>
      </c>
      <c r="G84" s="112">
        <v>209.86</v>
      </c>
      <c r="H84" s="112">
        <v>214.04</v>
      </c>
      <c r="I84" s="112">
        <v>218.32</v>
      </c>
    </row>
    <row r="85" ht="15.5" spans="1:9">
      <c r="A85" s="111">
        <v>68</v>
      </c>
      <c r="B85" s="110">
        <f t="shared" si="2"/>
        <v>1088</v>
      </c>
      <c r="C85" s="112">
        <v>56.61</v>
      </c>
      <c r="D85" s="112">
        <v>66.57</v>
      </c>
      <c r="E85" s="112">
        <v>83.59</v>
      </c>
      <c r="F85" s="112">
        <v>124.62</v>
      </c>
      <c r="G85" s="112">
        <v>210.09</v>
      </c>
      <c r="H85" s="112">
        <v>214.29</v>
      </c>
      <c r="I85" s="112">
        <v>218.57</v>
      </c>
    </row>
    <row r="86" ht="15.5" spans="1:9">
      <c r="A86" s="111">
        <v>69</v>
      </c>
      <c r="B86" s="110">
        <f t="shared" si="2"/>
        <v>1104</v>
      </c>
      <c r="C86" s="112">
        <v>56.84</v>
      </c>
      <c r="D86" s="112">
        <v>68.04</v>
      </c>
      <c r="E86" s="112">
        <v>83.82</v>
      </c>
      <c r="F86" s="112">
        <v>125.17</v>
      </c>
      <c r="G86" s="112">
        <v>210.79</v>
      </c>
      <c r="H86" s="112">
        <v>215.01</v>
      </c>
      <c r="I86" s="112">
        <v>219.32</v>
      </c>
    </row>
    <row r="87" ht="15.5" spans="1:9">
      <c r="A87" s="111">
        <v>70</v>
      </c>
      <c r="B87" s="110">
        <f t="shared" si="2"/>
        <v>1120</v>
      </c>
      <c r="C87" s="112">
        <v>57.06</v>
      </c>
      <c r="D87" s="112">
        <v>74.16</v>
      </c>
      <c r="E87" s="112">
        <v>85.77</v>
      </c>
      <c r="F87" s="112">
        <v>134.24</v>
      </c>
      <c r="G87" s="112">
        <v>217.57</v>
      </c>
      <c r="H87" s="112">
        <v>226.34</v>
      </c>
      <c r="I87" s="112">
        <v>230.88</v>
      </c>
    </row>
    <row r="88" ht="15.5" spans="1:9">
      <c r="A88" s="111">
        <v>71</v>
      </c>
      <c r="B88" s="110">
        <f t="shared" si="2"/>
        <v>1136</v>
      </c>
      <c r="C88" s="112">
        <v>59.83</v>
      </c>
      <c r="D88" s="112">
        <v>74.3</v>
      </c>
      <c r="E88" s="112">
        <v>85.83</v>
      </c>
      <c r="F88" s="112">
        <v>135.3</v>
      </c>
      <c r="G88" s="112">
        <v>218.27</v>
      </c>
      <c r="H88" s="112">
        <v>228.6</v>
      </c>
      <c r="I88" s="112">
        <v>233.19</v>
      </c>
    </row>
    <row r="89" ht="15.5" spans="1:9">
      <c r="A89" s="111">
        <v>72</v>
      </c>
      <c r="B89" s="110">
        <f t="shared" si="2"/>
        <v>1152</v>
      </c>
      <c r="C89" s="112">
        <v>60.18</v>
      </c>
      <c r="D89" s="112">
        <v>74.53</v>
      </c>
      <c r="E89" s="112">
        <v>85.87</v>
      </c>
      <c r="F89" s="112">
        <v>135.54</v>
      </c>
      <c r="G89" s="112">
        <v>224.19</v>
      </c>
      <c r="H89" s="112">
        <v>228.84</v>
      </c>
      <c r="I89" s="112">
        <v>233.42</v>
      </c>
    </row>
    <row r="90" ht="15.5" spans="1:9">
      <c r="A90" s="111">
        <v>73</v>
      </c>
      <c r="B90" s="110">
        <f t="shared" si="2"/>
        <v>1168</v>
      </c>
      <c r="C90" s="112">
        <v>60.39</v>
      </c>
      <c r="D90" s="112">
        <v>74.76</v>
      </c>
      <c r="E90" s="112">
        <v>86.28</v>
      </c>
      <c r="F90" s="112">
        <v>137.77</v>
      </c>
      <c r="G90" s="112">
        <v>224.57</v>
      </c>
      <c r="H90" s="112">
        <v>229.07</v>
      </c>
      <c r="I90" s="112">
        <v>233.64</v>
      </c>
    </row>
    <row r="91" ht="15.5" spans="1:9">
      <c r="A91" s="111">
        <v>74</v>
      </c>
      <c r="B91" s="110">
        <f t="shared" si="2"/>
        <v>1184</v>
      </c>
      <c r="C91" s="112">
        <v>60.6</v>
      </c>
      <c r="D91" s="112">
        <v>74.99</v>
      </c>
      <c r="E91" s="112">
        <v>86.49</v>
      </c>
      <c r="F91" s="112">
        <v>138.01</v>
      </c>
      <c r="G91" s="112">
        <v>224.88</v>
      </c>
      <c r="H91" s="112">
        <v>229.39</v>
      </c>
      <c r="I91" s="112">
        <v>233.97</v>
      </c>
    </row>
    <row r="92" ht="15.5" spans="1:9">
      <c r="A92" s="111">
        <v>75</v>
      </c>
      <c r="B92" s="110">
        <f t="shared" si="2"/>
        <v>1200</v>
      </c>
      <c r="C92" s="112">
        <v>61.01</v>
      </c>
      <c r="D92" s="112">
        <v>75.45</v>
      </c>
      <c r="E92" s="112">
        <v>86.95</v>
      </c>
      <c r="F92" s="112">
        <v>140.79</v>
      </c>
      <c r="G92" s="112">
        <v>231.11</v>
      </c>
      <c r="H92" s="112">
        <v>235.74</v>
      </c>
      <c r="I92" s="112">
        <v>240.46</v>
      </c>
    </row>
    <row r="93" ht="15.5" spans="1:9">
      <c r="A93" s="111">
        <v>76</v>
      </c>
      <c r="B93" s="110">
        <f t="shared" si="2"/>
        <v>1216</v>
      </c>
      <c r="C93" s="112">
        <v>62.17</v>
      </c>
      <c r="D93" s="112">
        <v>75.9</v>
      </c>
      <c r="E93" s="112">
        <v>87.4</v>
      </c>
      <c r="F93" s="112">
        <v>141.82</v>
      </c>
      <c r="G93" s="112">
        <v>234.74</v>
      </c>
      <c r="H93" s="112">
        <v>239.42</v>
      </c>
      <c r="I93" s="112">
        <v>244.22</v>
      </c>
    </row>
    <row r="94" ht="15.5" spans="1:9">
      <c r="A94" s="111">
        <v>77</v>
      </c>
      <c r="B94" s="110">
        <f t="shared" si="2"/>
        <v>1232</v>
      </c>
      <c r="C94" s="112">
        <v>62.63</v>
      </c>
      <c r="D94" s="112">
        <v>76.36</v>
      </c>
      <c r="E94" s="112">
        <v>89.18</v>
      </c>
      <c r="F94" s="112">
        <v>142.29</v>
      </c>
      <c r="G94" s="112">
        <v>239.57</v>
      </c>
      <c r="H94" s="112">
        <v>246.79</v>
      </c>
      <c r="I94" s="112">
        <v>251.73</v>
      </c>
    </row>
    <row r="95" ht="15.5" spans="1:9">
      <c r="A95" s="111">
        <v>78</v>
      </c>
      <c r="B95" s="110">
        <f t="shared" si="2"/>
        <v>1248</v>
      </c>
      <c r="C95" s="112">
        <v>63.07</v>
      </c>
      <c r="D95" s="112">
        <v>76.8</v>
      </c>
      <c r="E95" s="112">
        <v>90.9</v>
      </c>
      <c r="F95" s="112">
        <v>149.12</v>
      </c>
      <c r="G95" s="112">
        <v>240.22</v>
      </c>
      <c r="H95" s="112">
        <v>248.74</v>
      </c>
      <c r="I95" s="112">
        <v>268.65</v>
      </c>
    </row>
    <row r="96" ht="15.5" spans="1:9">
      <c r="A96" s="111">
        <v>79</v>
      </c>
      <c r="B96" s="110">
        <f t="shared" si="2"/>
        <v>1264</v>
      </c>
      <c r="C96" s="112">
        <v>63.53</v>
      </c>
      <c r="D96" s="112">
        <v>77.26</v>
      </c>
      <c r="E96" s="112">
        <v>91.34</v>
      </c>
      <c r="F96" s="112">
        <v>149.81</v>
      </c>
      <c r="G96" s="112">
        <v>241.52</v>
      </c>
      <c r="H96" s="112">
        <v>266.14</v>
      </c>
      <c r="I96" s="112">
        <v>271.46</v>
      </c>
    </row>
    <row r="97" ht="15.5" spans="1:9">
      <c r="A97" s="111">
        <v>80</v>
      </c>
      <c r="B97" s="110">
        <f t="shared" si="2"/>
        <v>1280</v>
      </c>
      <c r="C97" s="112">
        <v>63.99</v>
      </c>
      <c r="D97" s="112">
        <v>77.71</v>
      </c>
      <c r="E97" s="112">
        <v>91.8</v>
      </c>
      <c r="F97" s="112">
        <v>150.3</v>
      </c>
      <c r="G97" s="112">
        <v>254.65</v>
      </c>
      <c r="H97" s="112">
        <v>267.96</v>
      </c>
      <c r="I97" s="112">
        <v>273.33</v>
      </c>
    </row>
    <row r="98" ht="15.5" spans="1:9">
      <c r="A98" s="111">
        <v>81</v>
      </c>
      <c r="B98" s="110">
        <f t="shared" si="2"/>
        <v>1296</v>
      </c>
      <c r="C98" s="112">
        <v>66.2</v>
      </c>
      <c r="D98" s="112">
        <v>78.12</v>
      </c>
      <c r="E98" s="112">
        <v>92.23</v>
      </c>
      <c r="F98" s="112">
        <v>150.77</v>
      </c>
      <c r="G98" s="112">
        <v>255.97</v>
      </c>
      <c r="H98" s="112">
        <v>268.43</v>
      </c>
      <c r="I98" s="112">
        <v>273.79</v>
      </c>
    </row>
    <row r="99" ht="15.5" spans="1:9">
      <c r="A99" s="111">
        <v>82</v>
      </c>
      <c r="B99" s="110">
        <f t="shared" si="2"/>
        <v>1312</v>
      </c>
      <c r="C99" s="112">
        <v>66.85</v>
      </c>
      <c r="D99" s="112">
        <v>78.53</v>
      </c>
      <c r="E99" s="112">
        <v>93.61</v>
      </c>
      <c r="F99" s="112">
        <v>151.25</v>
      </c>
      <c r="G99" s="112">
        <v>256.46</v>
      </c>
      <c r="H99" s="112">
        <v>268.89</v>
      </c>
      <c r="I99" s="112">
        <v>274.28</v>
      </c>
    </row>
    <row r="100" ht="15.5" spans="1:9">
      <c r="A100" s="111">
        <v>83</v>
      </c>
      <c r="B100" s="110">
        <f t="shared" si="2"/>
        <v>1328</v>
      </c>
      <c r="C100" s="112">
        <v>67.76</v>
      </c>
      <c r="D100" s="112">
        <v>79.76</v>
      </c>
      <c r="E100" s="112">
        <v>94.07</v>
      </c>
      <c r="F100" s="112">
        <v>151.74</v>
      </c>
      <c r="G100" s="112">
        <v>260.5</v>
      </c>
      <c r="H100" s="112">
        <v>269.35</v>
      </c>
      <c r="I100" s="112">
        <v>274.74</v>
      </c>
    </row>
    <row r="101" ht="15.5" spans="1:9">
      <c r="A101" s="111">
        <v>84</v>
      </c>
      <c r="B101" s="110">
        <f t="shared" si="2"/>
        <v>1344</v>
      </c>
      <c r="C101" s="112">
        <v>68.2</v>
      </c>
      <c r="D101" s="112">
        <v>80.22</v>
      </c>
      <c r="E101" s="112">
        <v>95.47</v>
      </c>
      <c r="F101" s="112">
        <v>152.23</v>
      </c>
      <c r="G101" s="112">
        <v>263.29</v>
      </c>
      <c r="H101" s="112">
        <v>273.9</v>
      </c>
      <c r="I101" s="112">
        <v>279.38</v>
      </c>
    </row>
    <row r="102" ht="15.5" spans="1:9">
      <c r="A102" s="111">
        <v>85</v>
      </c>
      <c r="B102" s="110">
        <f t="shared" si="2"/>
        <v>1360</v>
      </c>
      <c r="C102" s="112">
        <v>71.35</v>
      </c>
      <c r="D102" s="112">
        <v>82.04</v>
      </c>
      <c r="E102" s="112">
        <v>99.36</v>
      </c>
      <c r="F102" s="112">
        <v>158.45</v>
      </c>
      <c r="G102" s="112">
        <v>263.78</v>
      </c>
      <c r="H102" s="112">
        <v>274.36</v>
      </c>
      <c r="I102" s="112">
        <v>279.86</v>
      </c>
    </row>
    <row r="103" ht="15.5" spans="1:9">
      <c r="A103" s="111">
        <v>86</v>
      </c>
      <c r="B103" s="110">
        <f t="shared" si="2"/>
        <v>1376</v>
      </c>
      <c r="C103" s="112">
        <v>71.81</v>
      </c>
      <c r="D103" s="112">
        <v>84.58</v>
      </c>
      <c r="E103" s="112">
        <v>99.85</v>
      </c>
      <c r="F103" s="112">
        <v>159.08</v>
      </c>
      <c r="G103" s="112">
        <v>264.26</v>
      </c>
      <c r="H103" s="112">
        <v>274.79</v>
      </c>
      <c r="I103" s="112">
        <v>280.3</v>
      </c>
    </row>
    <row r="104" ht="15.5" spans="1:9">
      <c r="A104" s="111">
        <v>87</v>
      </c>
      <c r="B104" s="110">
        <f t="shared" si="2"/>
        <v>1392</v>
      </c>
      <c r="C104" s="112">
        <v>72.27</v>
      </c>
      <c r="D104" s="112">
        <v>85.6</v>
      </c>
      <c r="E104" s="112">
        <v>100.29</v>
      </c>
      <c r="F104" s="112">
        <v>159.57</v>
      </c>
      <c r="G104" s="112">
        <v>264.75</v>
      </c>
      <c r="H104" s="112">
        <v>276.64</v>
      </c>
      <c r="I104" s="112">
        <v>282.18</v>
      </c>
    </row>
    <row r="105" ht="15.5" spans="1:9">
      <c r="A105" s="111">
        <v>88</v>
      </c>
      <c r="B105" s="110">
        <f t="shared" si="2"/>
        <v>1408</v>
      </c>
      <c r="C105" s="112">
        <v>72.72</v>
      </c>
      <c r="D105" s="112">
        <v>86.32</v>
      </c>
      <c r="E105" s="112">
        <v>100.74</v>
      </c>
      <c r="F105" s="112">
        <v>160.06</v>
      </c>
      <c r="G105" s="112">
        <v>265.22</v>
      </c>
      <c r="H105" s="112">
        <v>278.79</v>
      </c>
      <c r="I105" s="112">
        <v>284.38</v>
      </c>
    </row>
    <row r="106" ht="15.5" spans="1:9">
      <c r="A106" s="111">
        <v>89</v>
      </c>
      <c r="B106" s="110">
        <f t="shared" si="2"/>
        <v>1424</v>
      </c>
      <c r="C106" s="112">
        <v>73.17</v>
      </c>
      <c r="D106" s="112">
        <v>86.4</v>
      </c>
      <c r="E106" s="112">
        <v>101.18</v>
      </c>
      <c r="F106" s="112">
        <v>160.53</v>
      </c>
      <c r="G106" s="112">
        <v>268.5</v>
      </c>
      <c r="H106" s="112">
        <v>279.25</v>
      </c>
      <c r="I106" s="112">
        <v>284.85</v>
      </c>
    </row>
    <row r="107" ht="15.5" spans="1:9">
      <c r="A107" s="111">
        <v>90</v>
      </c>
      <c r="B107" s="110">
        <f t="shared" si="2"/>
        <v>1440</v>
      </c>
      <c r="C107" s="112">
        <v>73.63</v>
      </c>
      <c r="D107" s="112">
        <v>86.43</v>
      </c>
      <c r="E107" s="112">
        <v>101.64</v>
      </c>
      <c r="F107" s="112">
        <v>161.03</v>
      </c>
      <c r="G107" s="112">
        <v>271.28</v>
      </c>
      <c r="H107" s="112">
        <v>279.72</v>
      </c>
      <c r="I107" s="112">
        <v>285.32</v>
      </c>
    </row>
    <row r="108" ht="15.5" spans="1:9">
      <c r="A108" s="111">
        <v>91</v>
      </c>
      <c r="B108" s="110">
        <f t="shared" si="2"/>
        <v>1456</v>
      </c>
      <c r="C108" s="112">
        <v>74.07</v>
      </c>
      <c r="D108" s="112">
        <v>86.83</v>
      </c>
      <c r="E108" s="112">
        <v>102.07</v>
      </c>
      <c r="F108" s="112">
        <v>161.5</v>
      </c>
      <c r="G108" s="112">
        <v>271.76</v>
      </c>
      <c r="H108" s="112">
        <v>280.18</v>
      </c>
      <c r="I108" s="112">
        <v>285.8</v>
      </c>
    </row>
    <row r="109" ht="15.5" spans="1:9">
      <c r="A109" s="111">
        <v>92</v>
      </c>
      <c r="B109" s="110">
        <f t="shared" si="2"/>
        <v>1472</v>
      </c>
      <c r="C109" s="112">
        <v>74.53</v>
      </c>
      <c r="D109" s="112">
        <v>87.29</v>
      </c>
      <c r="E109" s="112">
        <v>102.53</v>
      </c>
      <c r="F109" s="112">
        <v>161.99</v>
      </c>
      <c r="G109" s="112">
        <v>272.25</v>
      </c>
      <c r="H109" s="112">
        <v>280.64</v>
      </c>
      <c r="I109" s="112">
        <v>286.27</v>
      </c>
    </row>
    <row r="110" ht="15.5" spans="1:9">
      <c r="A110" s="111">
        <v>93</v>
      </c>
      <c r="B110" s="110">
        <f t="shared" si="2"/>
        <v>1488</v>
      </c>
      <c r="C110" s="112">
        <v>74.98</v>
      </c>
      <c r="D110" s="112">
        <v>87.74</v>
      </c>
      <c r="E110" s="112">
        <v>103.73</v>
      </c>
      <c r="F110" s="112">
        <v>162.47</v>
      </c>
      <c r="G110" s="112">
        <v>272.73</v>
      </c>
      <c r="H110" s="112">
        <v>281.1</v>
      </c>
      <c r="I110" s="112">
        <v>286.74</v>
      </c>
    </row>
    <row r="111" ht="15.5" spans="1:9">
      <c r="A111" s="111">
        <v>94</v>
      </c>
      <c r="B111" s="110">
        <f t="shared" si="2"/>
        <v>1504</v>
      </c>
      <c r="C111" s="112">
        <v>75.44</v>
      </c>
      <c r="D111" s="112">
        <v>88.2</v>
      </c>
      <c r="E111" s="112">
        <v>103.8</v>
      </c>
      <c r="F111" s="112">
        <v>162.96</v>
      </c>
      <c r="G111" s="112">
        <v>273.21</v>
      </c>
      <c r="H111" s="112">
        <v>281.57</v>
      </c>
      <c r="I111" s="112">
        <v>287.21</v>
      </c>
    </row>
    <row r="112" ht="15.5" spans="1:9">
      <c r="A112" s="111">
        <v>95</v>
      </c>
      <c r="B112" s="110">
        <f t="shared" si="2"/>
        <v>1520</v>
      </c>
      <c r="C112" s="112">
        <v>75.88</v>
      </c>
      <c r="D112" s="112">
        <v>88.64</v>
      </c>
      <c r="E112" s="112">
        <v>104.18</v>
      </c>
      <c r="F112" s="112">
        <v>163.46</v>
      </c>
      <c r="G112" s="112">
        <v>274.05</v>
      </c>
      <c r="H112" s="112">
        <v>284.08</v>
      </c>
      <c r="I112" s="112">
        <v>289.75</v>
      </c>
    </row>
    <row r="113" ht="15.5" spans="1:9">
      <c r="A113" s="111">
        <v>96</v>
      </c>
      <c r="B113" s="110">
        <f t="shared" si="2"/>
        <v>1536</v>
      </c>
      <c r="C113" s="112">
        <v>77</v>
      </c>
      <c r="D113" s="112">
        <v>89.06</v>
      </c>
      <c r="E113" s="112">
        <v>106.85</v>
      </c>
      <c r="F113" s="112">
        <v>166.33</v>
      </c>
      <c r="G113" s="112">
        <v>278.96</v>
      </c>
      <c r="H113" s="112">
        <v>284.54</v>
      </c>
      <c r="I113" s="112">
        <v>290.24</v>
      </c>
    </row>
    <row r="114" ht="15.5" spans="1:9">
      <c r="A114" s="111">
        <v>97</v>
      </c>
      <c r="B114" s="110">
        <f t="shared" si="2"/>
        <v>1552</v>
      </c>
      <c r="C114" s="112">
        <v>77.34</v>
      </c>
      <c r="D114" s="112">
        <v>89.55</v>
      </c>
      <c r="E114" s="112">
        <v>109.43</v>
      </c>
      <c r="F114" s="112">
        <v>166.82</v>
      </c>
      <c r="G114" s="112">
        <v>284.82</v>
      </c>
      <c r="H114" s="112">
        <v>290.52</v>
      </c>
      <c r="I114" s="112">
        <v>296.34</v>
      </c>
    </row>
    <row r="115" ht="15.5" spans="1:9">
      <c r="A115" s="111">
        <v>98</v>
      </c>
      <c r="B115" s="110">
        <f t="shared" si="2"/>
        <v>1568</v>
      </c>
      <c r="C115" s="112">
        <v>77.69</v>
      </c>
      <c r="D115" s="112">
        <v>90</v>
      </c>
      <c r="E115" s="112">
        <v>109.88</v>
      </c>
      <c r="F115" s="112">
        <v>167.31</v>
      </c>
      <c r="G115" s="112">
        <v>291.48</v>
      </c>
      <c r="H115" s="112">
        <v>297.32</v>
      </c>
      <c r="I115" s="112">
        <v>300.43</v>
      </c>
    </row>
    <row r="116" ht="15.5" spans="1:9">
      <c r="A116" s="111">
        <v>99</v>
      </c>
      <c r="B116" s="110">
        <f t="shared" si="2"/>
        <v>1584</v>
      </c>
      <c r="C116" s="112">
        <v>78.04</v>
      </c>
      <c r="D116" s="112">
        <v>90.45</v>
      </c>
      <c r="E116" s="112">
        <v>112.47</v>
      </c>
      <c r="F116" s="112">
        <v>177.05</v>
      </c>
      <c r="G116" s="112">
        <v>293.57</v>
      </c>
      <c r="H116" s="112">
        <v>307.62</v>
      </c>
      <c r="I116" s="112">
        <v>320.45</v>
      </c>
    </row>
    <row r="117" ht="15.5" spans="1:9">
      <c r="A117" s="111">
        <v>100</v>
      </c>
      <c r="B117" s="110">
        <f t="shared" si="2"/>
        <v>1600</v>
      </c>
      <c r="C117" s="112">
        <v>78.38</v>
      </c>
      <c r="D117" s="112">
        <v>97.74</v>
      </c>
      <c r="E117" s="112">
        <v>124.52</v>
      </c>
      <c r="F117" s="112">
        <v>186.58</v>
      </c>
      <c r="G117" s="112">
        <v>298.42</v>
      </c>
      <c r="H117" s="112">
        <v>337.92</v>
      </c>
      <c r="I117" s="112">
        <v>352.04</v>
      </c>
    </row>
    <row r="118" ht="15.5" spans="1:9">
      <c r="A118" s="111">
        <v>101</v>
      </c>
      <c r="B118" s="110">
        <f t="shared" si="2"/>
        <v>1616</v>
      </c>
      <c r="C118" s="112">
        <v>79.16</v>
      </c>
      <c r="D118" s="112">
        <v>98.71</v>
      </c>
      <c r="E118" s="112">
        <v>125.78</v>
      </c>
      <c r="F118" s="112">
        <v>188.45</v>
      </c>
      <c r="G118" s="112">
        <v>302.59</v>
      </c>
      <c r="H118" s="112">
        <v>343.97</v>
      </c>
      <c r="I118" s="112">
        <v>354.69</v>
      </c>
    </row>
    <row r="119" ht="15.5" spans="1:9">
      <c r="A119" s="111">
        <v>102</v>
      </c>
      <c r="B119" s="110">
        <f t="shared" si="2"/>
        <v>1632</v>
      </c>
      <c r="C119" s="112">
        <v>79.95</v>
      </c>
      <c r="D119" s="112">
        <v>99.68</v>
      </c>
      <c r="E119" s="112">
        <v>127.02</v>
      </c>
      <c r="F119" s="112">
        <v>190.31</v>
      </c>
      <c r="G119" s="112">
        <v>304.72</v>
      </c>
      <c r="H119" s="112">
        <v>347.37</v>
      </c>
      <c r="I119" s="112">
        <v>358.2</v>
      </c>
    </row>
    <row r="120" ht="15.5" spans="1:9">
      <c r="A120" s="111">
        <v>103</v>
      </c>
      <c r="B120" s="110">
        <f t="shared" si="2"/>
        <v>1648</v>
      </c>
      <c r="C120" s="112">
        <v>80.73</v>
      </c>
      <c r="D120" s="112">
        <v>100.66</v>
      </c>
      <c r="E120" s="112">
        <v>128.26</v>
      </c>
      <c r="F120" s="112">
        <v>192.17</v>
      </c>
      <c r="G120" s="112">
        <v>307.71</v>
      </c>
      <c r="H120" s="112">
        <v>350.77</v>
      </c>
      <c r="I120" s="112">
        <v>361.71</v>
      </c>
    </row>
    <row r="121" ht="15.5" spans="1:9">
      <c r="A121" s="111">
        <v>104</v>
      </c>
      <c r="B121" s="110">
        <f t="shared" si="2"/>
        <v>1664</v>
      </c>
      <c r="C121" s="112">
        <v>81.53</v>
      </c>
      <c r="D121" s="112">
        <v>101.64</v>
      </c>
      <c r="E121" s="112">
        <v>129.51</v>
      </c>
      <c r="F121" s="112">
        <v>194.04</v>
      </c>
      <c r="G121" s="112">
        <v>310.03</v>
      </c>
      <c r="H121" s="112">
        <v>354.17</v>
      </c>
      <c r="I121" s="112">
        <v>365.23</v>
      </c>
    </row>
    <row r="122" ht="15.5" spans="1:9">
      <c r="A122" s="111">
        <v>105</v>
      </c>
      <c r="B122" s="110">
        <f t="shared" si="2"/>
        <v>1680</v>
      </c>
      <c r="C122" s="112">
        <v>82.31</v>
      </c>
      <c r="D122" s="112">
        <v>102.61</v>
      </c>
      <c r="E122" s="112">
        <v>130.75</v>
      </c>
      <c r="F122" s="112">
        <v>195.9</v>
      </c>
      <c r="G122" s="112">
        <v>313.69</v>
      </c>
      <c r="H122" s="112">
        <v>357.59</v>
      </c>
      <c r="I122" s="112">
        <v>368.73</v>
      </c>
    </row>
    <row r="123" ht="15.5" spans="1:9">
      <c r="A123" s="111">
        <v>106</v>
      </c>
      <c r="B123" s="110">
        <f t="shared" si="2"/>
        <v>1696</v>
      </c>
      <c r="C123" s="112">
        <v>83.09</v>
      </c>
      <c r="D123" s="112">
        <v>103.6</v>
      </c>
      <c r="E123" s="112">
        <v>132</v>
      </c>
      <c r="F123" s="112">
        <v>197.78</v>
      </c>
      <c r="G123" s="112">
        <v>316.67</v>
      </c>
      <c r="H123" s="112">
        <v>360.99</v>
      </c>
      <c r="I123" s="112">
        <v>372.24</v>
      </c>
    </row>
    <row r="124" ht="15.5" spans="1:9">
      <c r="A124" s="111">
        <v>107</v>
      </c>
      <c r="B124" s="110">
        <f t="shared" si="2"/>
        <v>1712</v>
      </c>
      <c r="C124" s="112">
        <v>83.88</v>
      </c>
      <c r="D124" s="112">
        <v>104.57</v>
      </c>
      <c r="E124" s="112">
        <v>133.25</v>
      </c>
      <c r="F124" s="112">
        <v>199.64</v>
      </c>
      <c r="G124" s="112">
        <v>318.96</v>
      </c>
      <c r="H124" s="112">
        <v>364.39</v>
      </c>
      <c r="I124" s="112">
        <v>375.76</v>
      </c>
    </row>
    <row r="125" ht="15.5" spans="1:9">
      <c r="A125" s="111">
        <v>108</v>
      </c>
      <c r="B125" s="110">
        <f t="shared" si="2"/>
        <v>1728</v>
      </c>
      <c r="C125" s="112">
        <v>84.66</v>
      </c>
      <c r="D125" s="112">
        <v>105.54</v>
      </c>
      <c r="E125" s="112">
        <v>134.49</v>
      </c>
      <c r="F125" s="112">
        <v>201.5</v>
      </c>
      <c r="G125" s="112">
        <v>321.95</v>
      </c>
      <c r="H125" s="112">
        <v>367.81</v>
      </c>
      <c r="I125" s="112">
        <v>379.27</v>
      </c>
    </row>
    <row r="126" ht="15.5" spans="1:9">
      <c r="A126" s="111">
        <v>109</v>
      </c>
      <c r="B126" s="110">
        <f t="shared" si="2"/>
        <v>1744</v>
      </c>
      <c r="C126" s="112">
        <v>85.44</v>
      </c>
      <c r="D126" s="112">
        <v>106.53</v>
      </c>
      <c r="E126" s="112">
        <v>135.74</v>
      </c>
      <c r="F126" s="112">
        <v>203.36</v>
      </c>
      <c r="G126" s="112">
        <v>324.93</v>
      </c>
      <c r="H126" s="112">
        <v>371.21</v>
      </c>
      <c r="I126" s="112">
        <v>382.78</v>
      </c>
    </row>
    <row r="127" ht="15.5" spans="1:9">
      <c r="A127" s="111">
        <v>110</v>
      </c>
      <c r="B127" s="110">
        <f t="shared" si="2"/>
        <v>1760</v>
      </c>
      <c r="C127" s="112">
        <v>86.22</v>
      </c>
      <c r="D127" s="112">
        <v>107.5</v>
      </c>
      <c r="E127" s="112">
        <v>136.98</v>
      </c>
      <c r="F127" s="112">
        <v>205.23</v>
      </c>
      <c r="G127" s="112">
        <v>328.62</v>
      </c>
      <c r="H127" s="112">
        <v>374.61</v>
      </c>
      <c r="I127" s="112">
        <v>386.29</v>
      </c>
    </row>
    <row r="128" ht="15.5" spans="1:9">
      <c r="A128" s="111">
        <v>111</v>
      </c>
      <c r="B128" s="110">
        <f t="shared" si="2"/>
        <v>1776</v>
      </c>
      <c r="C128" s="112">
        <v>87.01</v>
      </c>
      <c r="D128" s="112">
        <v>108.49</v>
      </c>
      <c r="E128" s="112">
        <v>138.23</v>
      </c>
      <c r="F128" s="112">
        <v>207.1</v>
      </c>
      <c r="G128" s="112">
        <v>330.89</v>
      </c>
      <c r="H128" s="112">
        <v>378.01</v>
      </c>
      <c r="I128" s="112">
        <v>389.8</v>
      </c>
    </row>
    <row r="129" ht="15.5" spans="1:9">
      <c r="A129" s="111">
        <v>112</v>
      </c>
      <c r="B129" s="110">
        <f t="shared" si="2"/>
        <v>1792</v>
      </c>
      <c r="C129" s="112">
        <v>87.79</v>
      </c>
      <c r="D129" s="112">
        <v>109.46</v>
      </c>
      <c r="E129" s="112">
        <v>139.47</v>
      </c>
      <c r="F129" s="112">
        <v>208.97</v>
      </c>
      <c r="G129" s="112">
        <v>334.6</v>
      </c>
      <c r="H129" s="112">
        <v>381.43</v>
      </c>
      <c r="I129" s="112">
        <v>393.31</v>
      </c>
    </row>
    <row r="130" ht="15.5" spans="1:9">
      <c r="A130" s="111">
        <v>113</v>
      </c>
      <c r="B130" s="110">
        <f t="shared" si="2"/>
        <v>1808</v>
      </c>
      <c r="C130" s="112">
        <v>88.57</v>
      </c>
      <c r="D130" s="112">
        <v>110.44</v>
      </c>
      <c r="E130" s="112">
        <v>140.72</v>
      </c>
      <c r="F130" s="112">
        <v>210.83</v>
      </c>
      <c r="G130" s="112">
        <v>336.85</v>
      </c>
      <c r="H130" s="112">
        <v>384.83</v>
      </c>
      <c r="I130" s="112">
        <v>396.82</v>
      </c>
    </row>
    <row r="131" ht="15.5" spans="1:9">
      <c r="A131" s="111">
        <v>114</v>
      </c>
      <c r="B131" s="110">
        <f t="shared" si="2"/>
        <v>1824</v>
      </c>
      <c r="C131" s="112">
        <v>89.36</v>
      </c>
      <c r="D131" s="112">
        <v>111.42</v>
      </c>
      <c r="E131" s="112">
        <v>141.97</v>
      </c>
      <c r="F131" s="112">
        <v>212.69</v>
      </c>
      <c r="G131" s="112">
        <v>339.84</v>
      </c>
      <c r="H131" s="112">
        <v>388.23</v>
      </c>
      <c r="I131" s="112">
        <v>400.34</v>
      </c>
    </row>
    <row r="132" ht="15.5" spans="1:9">
      <c r="A132" s="111">
        <v>115</v>
      </c>
      <c r="B132" s="110">
        <f t="shared" si="2"/>
        <v>1840</v>
      </c>
      <c r="C132" s="112">
        <v>90.14</v>
      </c>
      <c r="D132" s="112">
        <v>112.39</v>
      </c>
      <c r="E132" s="112">
        <v>143.21</v>
      </c>
      <c r="F132" s="112">
        <v>214.56</v>
      </c>
      <c r="G132" s="112">
        <v>342.82</v>
      </c>
      <c r="H132" s="112">
        <v>391.64</v>
      </c>
      <c r="I132" s="112">
        <v>403.85</v>
      </c>
    </row>
    <row r="133" ht="15.5" spans="1:9">
      <c r="A133" s="111">
        <v>116</v>
      </c>
      <c r="B133" s="110">
        <f t="shared" si="2"/>
        <v>1856</v>
      </c>
      <c r="C133" s="112">
        <v>90.92</v>
      </c>
      <c r="D133" s="112">
        <v>113.37</v>
      </c>
      <c r="E133" s="112">
        <v>144.45</v>
      </c>
      <c r="F133" s="112">
        <v>216.43</v>
      </c>
      <c r="G133" s="112">
        <v>346.55</v>
      </c>
      <c r="H133" s="112">
        <v>395.05</v>
      </c>
      <c r="I133" s="112">
        <v>407.36</v>
      </c>
    </row>
    <row r="134" ht="15.5" spans="1:9">
      <c r="A134" s="111">
        <v>117</v>
      </c>
      <c r="B134" s="110">
        <f t="shared" si="2"/>
        <v>1872</v>
      </c>
      <c r="C134" s="112">
        <v>91.72</v>
      </c>
      <c r="D134" s="112">
        <v>114.35</v>
      </c>
      <c r="E134" s="112">
        <v>145.71</v>
      </c>
      <c r="F134" s="112">
        <v>218.3</v>
      </c>
      <c r="G134" s="112">
        <v>348.77</v>
      </c>
      <c r="H134" s="112">
        <v>398.45</v>
      </c>
      <c r="I134" s="112">
        <v>410.87</v>
      </c>
    </row>
    <row r="135" ht="15.5" spans="1:9">
      <c r="A135" s="111">
        <v>118</v>
      </c>
      <c r="B135" s="110">
        <f t="shared" si="2"/>
        <v>1888</v>
      </c>
      <c r="C135" s="112">
        <v>92.5</v>
      </c>
      <c r="D135" s="112">
        <v>115.33</v>
      </c>
      <c r="E135" s="112">
        <v>146.95</v>
      </c>
      <c r="F135" s="112">
        <v>220.16</v>
      </c>
      <c r="G135" s="112">
        <v>351.76</v>
      </c>
      <c r="H135" s="112">
        <v>401.85</v>
      </c>
      <c r="I135" s="112">
        <v>414.38</v>
      </c>
    </row>
    <row r="136" ht="15.5" spans="1:9">
      <c r="A136" s="111">
        <v>119</v>
      </c>
      <c r="B136" s="110">
        <f t="shared" si="2"/>
        <v>1904</v>
      </c>
      <c r="C136" s="112">
        <v>93.29</v>
      </c>
      <c r="D136" s="112">
        <v>116.3</v>
      </c>
      <c r="E136" s="112">
        <v>148.19</v>
      </c>
      <c r="F136" s="112">
        <v>222.02</v>
      </c>
      <c r="G136" s="112">
        <v>354.74</v>
      </c>
      <c r="H136" s="112">
        <v>405.27</v>
      </c>
      <c r="I136" s="112">
        <v>417.89</v>
      </c>
    </row>
    <row r="137" ht="15.5" spans="1:9">
      <c r="A137" s="111">
        <v>120</v>
      </c>
      <c r="B137" s="110">
        <f t="shared" si="2"/>
        <v>1920</v>
      </c>
      <c r="C137" s="112">
        <v>94.07</v>
      </c>
      <c r="D137" s="112">
        <v>117.29</v>
      </c>
      <c r="E137" s="112">
        <v>149.43</v>
      </c>
      <c r="F137" s="112">
        <v>223.9</v>
      </c>
      <c r="G137" s="112">
        <v>357.72</v>
      </c>
      <c r="H137" s="112">
        <v>408.67</v>
      </c>
      <c r="I137" s="112">
        <v>421.4</v>
      </c>
    </row>
    <row r="138" ht="15.5" spans="1:9">
      <c r="A138" s="111">
        <v>121</v>
      </c>
      <c r="B138" s="110">
        <f t="shared" si="2"/>
        <v>1936</v>
      </c>
      <c r="C138" s="112">
        <v>94.84</v>
      </c>
      <c r="D138" s="112">
        <v>118.26</v>
      </c>
      <c r="E138" s="112">
        <v>150.69</v>
      </c>
      <c r="F138" s="112">
        <v>225.76</v>
      </c>
      <c r="G138" s="112">
        <v>360.71</v>
      </c>
      <c r="H138" s="112">
        <v>412.07</v>
      </c>
      <c r="I138" s="112">
        <v>424.91</v>
      </c>
    </row>
    <row r="139" ht="15.5" spans="1:9">
      <c r="A139" s="111">
        <v>122</v>
      </c>
      <c r="B139" s="110">
        <f t="shared" si="2"/>
        <v>1952</v>
      </c>
      <c r="C139" s="112">
        <v>95.63</v>
      </c>
      <c r="D139" s="112">
        <v>119.23</v>
      </c>
      <c r="E139" s="112">
        <v>151.93</v>
      </c>
      <c r="F139" s="112">
        <v>227.62</v>
      </c>
      <c r="G139" s="112">
        <v>363.68</v>
      </c>
      <c r="H139" s="112">
        <v>415.48</v>
      </c>
      <c r="I139" s="112">
        <v>428.44</v>
      </c>
    </row>
    <row r="140" ht="15.5" spans="1:9">
      <c r="A140" s="111">
        <v>123</v>
      </c>
      <c r="B140" s="110">
        <f t="shared" si="2"/>
        <v>1968</v>
      </c>
      <c r="C140" s="112">
        <v>96.42</v>
      </c>
      <c r="D140" s="112">
        <v>120.2</v>
      </c>
      <c r="E140" s="112">
        <v>153.17</v>
      </c>
      <c r="F140" s="112">
        <v>229.49</v>
      </c>
      <c r="G140" s="112">
        <v>366.66</v>
      </c>
      <c r="H140" s="112">
        <v>418.89</v>
      </c>
      <c r="I140" s="112">
        <v>431.95</v>
      </c>
    </row>
    <row r="141" ht="15.5" spans="1:9">
      <c r="A141" s="111">
        <v>124</v>
      </c>
      <c r="B141" s="110">
        <f t="shared" si="2"/>
        <v>1984</v>
      </c>
      <c r="C141" s="112">
        <v>97.2</v>
      </c>
      <c r="D141" s="112">
        <v>121.19</v>
      </c>
      <c r="E141" s="112">
        <v>154.41</v>
      </c>
      <c r="F141" s="112">
        <v>231.36</v>
      </c>
      <c r="G141" s="112">
        <v>370.45</v>
      </c>
      <c r="H141" s="112">
        <v>422.29</v>
      </c>
      <c r="I141" s="112">
        <v>435.46</v>
      </c>
    </row>
    <row r="142" ht="15.5" spans="1:9">
      <c r="A142" s="111">
        <v>125</v>
      </c>
      <c r="B142" s="110">
        <f t="shared" si="2"/>
        <v>2000</v>
      </c>
      <c r="C142" s="112">
        <v>97.98</v>
      </c>
      <c r="D142" s="112">
        <v>122.16</v>
      </c>
      <c r="E142" s="112">
        <v>155.67</v>
      </c>
      <c r="F142" s="112">
        <v>233.23</v>
      </c>
      <c r="G142" s="112">
        <v>372.63</v>
      </c>
      <c r="H142" s="112">
        <v>425.7</v>
      </c>
      <c r="I142" s="112">
        <v>438.97</v>
      </c>
    </row>
    <row r="143" ht="15.5" spans="1:9">
      <c r="A143" s="111">
        <v>126</v>
      </c>
      <c r="B143" s="110">
        <f t="shared" si="2"/>
        <v>2016</v>
      </c>
      <c r="C143" s="112">
        <v>98.77</v>
      </c>
      <c r="D143" s="112">
        <v>123.15</v>
      </c>
      <c r="E143" s="112">
        <v>156.91</v>
      </c>
      <c r="F143" s="112">
        <v>235.09</v>
      </c>
      <c r="G143" s="112">
        <v>376.42</v>
      </c>
      <c r="H143" s="112">
        <v>429.1</v>
      </c>
      <c r="I143" s="112">
        <v>442.48</v>
      </c>
    </row>
    <row r="144" ht="15.5" spans="1:9">
      <c r="A144" s="111">
        <v>127</v>
      </c>
      <c r="B144" s="110">
        <f t="shared" si="2"/>
        <v>2032</v>
      </c>
      <c r="C144" s="112">
        <v>99.55</v>
      </c>
      <c r="D144" s="112">
        <v>124.12</v>
      </c>
      <c r="E144" s="112">
        <v>158.15</v>
      </c>
      <c r="F144" s="112">
        <v>236.95</v>
      </c>
      <c r="G144" s="112">
        <v>378.58</v>
      </c>
      <c r="H144" s="112">
        <v>432.5</v>
      </c>
      <c r="I144" s="112">
        <v>445.99</v>
      </c>
    </row>
    <row r="145" ht="15.5" spans="1:9">
      <c r="A145" s="111">
        <v>128</v>
      </c>
      <c r="B145" s="110">
        <f t="shared" si="2"/>
        <v>2048</v>
      </c>
      <c r="C145" s="112">
        <v>100.33</v>
      </c>
      <c r="D145" s="112">
        <v>125.09</v>
      </c>
      <c r="E145" s="112">
        <v>159.39</v>
      </c>
      <c r="F145" s="112">
        <v>238.82</v>
      </c>
      <c r="G145" s="112">
        <v>381.56</v>
      </c>
      <c r="H145" s="112">
        <v>435.92</v>
      </c>
      <c r="I145" s="112">
        <v>449.5</v>
      </c>
    </row>
    <row r="146" ht="15.5" spans="1:9">
      <c r="A146" s="111">
        <v>129</v>
      </c>
      <c r="B146" s="110">
        <f t="shared" ref="B146:B167" si="3">A146*16</f>
        <v>2064</v>
      </c>
      <c r="C146" s="112">
        <v>101.12</v>
      </c>
      <c r="D146" s="112">
        <v>126.08</v>
      </c>
      <c r="E146" s="112">
        <v>160.65</v>
      </c>
      <c r="F146" s="112">
        <v>240.69</v>
      </c>
      <c r="G146" s="112">
        <v>384.55</v>
      </c>
      <c r="H146" s="112">
        <v>439.32</v>
      </c>
      <c r="I146" s="112">
        <v>453.01</v>
      </c>
    </row>
    <row r="147" ht="15.5" spans="1:9">
      <c r="A147" s="111">
        <v>130</v>
      </c>
      <c r="B147" s="110">
        <f t="shared" si="3"/>
        <v>2080</v>
      </c>
      <c r="C147" s="112">
        <v>101.9</v>
      </c>
      <c r="D147" s="112">
        <v>127.05</v>
      </c>
      <c r="E147" s="112">
        <v>161.89</v>
      </c>
      <c r="F147" s="112">
        <v>242.55</v>
      </c>
      <c r="G147" s="112">
        <v>387.53</v>
      </c>
      <c r="H147" s="112">
        <v>442.72</v>
      </c>
      <c r="I147" s="112">
        <v>456.53</v>
      </c>
    </row>
    <row r="148" ht="15.5" spans="1:9">
      <c r="A148" s="111">
        <v>131</v>
      </c>
      <c r="B148" s="110">
        <f t="shared" si="3"/>
        <v>2096</v>
      </c>
      <c r="C148" s="112">
        <v>102.68</v>
      </c>
      <c r="D148" s="112">
        <v>128.03</v>
      </c>
      <c r="E148" s="112">
        <v>163.13</v>
      </c>
      <c r="F148" s="112">
        <v>244.42</v>
      </c>
      <c r="G148" s="112">
        <v>392.46</v>
      </c>
      <c r="H148" s="112">
        <v>446.13</v>
      </c>
      <c r="I148" s="112">
        <v>460.04</v>
      </c>
    </row>
    <row r="149" ht="15.5" spans="1:9">
      <c r="A149" s="111">
        <v>132</v>
      </c>
      <c r="B149" s="110">
        <f t="shared" si="3"/>
        <v>2112</v>
      </c>
      <c r="C149" s="112">
        <v>103.46</v>
      </c>
      <c r="D149" s="112">
        <v>129.01</v>
      </c>
      <c r="E149" s="112">
        <v>164.38</v>
      </c>
      <c r="F149" s="112">
        <v>246.28</v>
      </c>
      <c r="G149" s="112">
        <v>394.35</v>
      </c>
      <c r="H149" s="112">
        <v>449.54</v>
      </c>
      <c r="I149" s="112">
        <v>463.55</v>
      </c>
    </row>
    <row r="150" ht="15.5" spans="1:9">
      <c r="A150" s="111">
        <v>133</v>
      </c>
      <c r="B150" s="110">
        <f t="shared" si="3"/>
        <v>2128</v>
      </c>
      <c r="C150" s="112">
        <v>104.25</v>
      </c>
      <c r="D150" s="112">
        <v>129.98</v>
      </c>
      <c r="E150" s="112">
        <v>165.62</v>
      </c>
      <c r="F150" s="112">
        <v>248.14</v>
      </c>
      <c r="G150" s="112">
        <v>396.47</v>
      </c>
      <c r="H150" s="112">
        <v>452.94</v>
      </c>
      <c r="I150" s="112">
        <v>467.06</v>
      </c>
    </row>
    <row r="151" ht="15.5" spans="1:9">
      <c r="A151" s="111">
        <v>134</v>
      </c>
      <c r="B151" s="110">
        <f t="shared" si="3"/>
        <v>2144</v>
      </c>
      <c r="C151" s="112">
        <v>105.03</v>
      </c>
      <c r="D151" s="112">
        <v>130.96</v>
      </c>
      <c r="E151" s="112">
        <v>166.87</v>
      </c>
      <c r="F151" s="112">
        <v>250.01</v>
      </c>
      <c r="G151" s="112">
        <v>399.45</v>
      </c>
      <c r="H151" s="112">
        <v>456.35</v>
      </c>
      <c r="I151" s="112">
        <v>470.57</v>
      </c>
    </row>
    <row r="152" ht="15.5" spans="1:9">
      <c r="A152" s="111">
        <v>135</v>
      </c>
      <c r="B152" s="110">
        <f t="shared" si="3"/>
        <v>2160</v>
      </c>
      <c r="C152" s="112">
        <v>105.81</v>
      </c>
      <c r="D152" s="112">
        <v>131.94</v>
      </c>
      <c r="E152" s="112">
        <v>168.12</v>
      </c>
      <c r="F152" s="112">
        <v>251.88</v>
      </c>
      <c r="G152" s="112">
        <v>402.44</v>
      </c>
      <c r="H152" s="112">
        <v>459.76</v>
      </c>
      <c r="I152" s="112">
        <v>474.08</v>
      </c>
    </row>
    <row r="153" ht="15.5" spans="1:9">
      <c r="A153" s="111">
        <v>136</v>
      </c>
      <c r="B153" s="110">
        <f t="shared" si="3"/>
        <v>2176</v>
      </c>
      <c r="C153" s="112">
        <v>106.6</v>
      </c>
      <c r="D153" s="112">
        <v>132.92</v>
      </c>
      <c r="E153" s="112">
        <v>169.36</v>
      </c>
      <c r="F153" s="112">
        <v>253.75</v>
      </c>
      <c r="G153" s="112">
        <v>405.42</v>
      </c>
      <c r="H153" s="112">
        <v>463.16</v>
      </c>
      <c r="I153" s="112">
        <v>477.59</v>
      </c>
    </row>
    <row r="154" ht="15.5" spans="1:9">
      <c r="A154" s="111">
        <v>137</v>
      </c>
      <c r="B154" s="110">
        <f t="shared" si="3"/>
        <v>2192</v>
      </c>
      <c r="C154" s="112">
        <v>107.38</v>
      </c>
      <c r="D154" s="112">
        <v>133.89</v>
      </c>
      <c r="E154" s="112">
        <v>170.6</v>
      </c>
      <c r="F154" s="112">
        <v>255.61</v>
      </c>
      <c r="G154" s="112">
        <v>408.4</v>
      </c>
      <c r="H154" s="112">
        <v>466.56</v>
      </c>
      <c r="I154" s="112">
        <v>481.1</v>
      </c>
    </row>
    <row r="155" ht="15.5" spans="1:9">
      <c r="A155" s="111">
        <v>138</v>
      </c>
      <c r="B155" s="110">
        <f t="shared" si="3"/>
        <v>2208</v>
      </c>
      <c r="C155" s="112">
        <v>108.16</v>
      </c>
      <c r="D155" s="112">
        <v>134.87</v>
      </c>
      <c r="E155" s="112">
        <v>171.86</v>
      </c>
      <c r="F155" s="112">
        <v>257.47</v>
      </c>
      <c r="G155" s="112">
        <v>412.26</v>
      </c>
      <c r="H155" s="112">
        <v>469.98</v>
      </c>
      <c r="I155" s="112">
        <v>484.62</v>
      </c>
    </row>
    <row r="156" ht="15.5" spans="1:9">
      <c r="A156" s="111">
        <v>139</v>
      </c>
      <c r="B156" s="110">
        <f t="shared" si="3"/>
        <v>2224</v>
      </c>
      <c r="C156" s="112">
        <v>108.95</v>
      </c>
      <c r="D156" s="112">
        <v>135.85</v>
      </c>
      <c r="E156" s="112">
        <v>173.1</v>
      </c>
      <c r="F156" s="112">
        <v>259.34</v>
      </c>
      <c r="G156" s="112">
        <v>414.36</v>
      </c>
      <c r="H156" s="112">
        <v>473.38</v>
      </c>
      <c r="I156" s="112">
        <v>488.13</v>
      </c>
    </row>
    <row r="157" ht="15.5" spans="1:9">
      <c r="A157" s="111">
        <v>140</v>
      </c>
      <c r="B157" s="110">
        <f t="shared" si="3"/>
        <v>2240</v>
      </c>
      <c r="C157" s="112">
        <v>109.74</v>
      </c>
      <c r="D157" s="112">
        <v>136.82</v>
      </c>
      <c r="E157" s="112">
        <v>174.34</v>
      </c>
      <c r="F157" s="112">
        <v>261.21</v>
      </c>
      <c r="G157" s="112">
        <v>417.34</v>
      </c>
      <c r="H157" s="112">
        <v>476.78</v>
      </c>
      <c r="I157" s="112">
        <v>491.64</v>
      </c>
    </row>
    <row r="158" ht="15.5" spans="1:9">
      <c r="A158" s="111">
        <v>141</v>
      </c>
      <c r="B158" s="110">
        <f t="shared" si="3"/>
        <v>2256</v>
      </c>
      <c r="C158" s="112">
        <v>110.52</v>
      </c>
      <c r="D158" s="112">
        <v>137.81</v>
      </c>
      <c r="E158" s="112">
        <v>175.58</v>
      </c>
      <c r="F158" s="112">
        <v>263.07</v>
      </c>
      <c r="G158" s="112">
        <v>420.32</v>
      </c>
      <c r="H158" s="112">
        <v>480.18</v>
      </c>
      <c r="I158" s="112">
        <v>495.15</v>
      </c>
    </row>
    <row r="159" ht="15.5" spans="1:9">
      <c r="A159" s="111">
        <v>142</v>
      </c>
      <c r="B159" s="110">
        <f t="shared" si="3"/>
        <v>2272</v>
      </c>
      <c r="C159" s="112">
        <v>111.31</v>
      </c>
      <c r="D159" s="112">
        <v>138.78</v>
      </c>
      <c r="E159" s="112">
        <v>176.84</v>
      </c>
      <c r="F159" s="112">
        <v>264.94</v>
      </c>
      <c r="G159" s="112">
        <v>423.31</v>
      </c>
      <c r="H159" s="112">
        <v>483.6</v>
      </c>
      <c r="I159" s="112">
        <v>498.66</v>
      </c>
    </row>
    <row r="160" ht="15.5" spans="1:9">
      <c r="A160" s="111">
        <v>143</v>
      </c>
      <c r="B160" s="110">
        <f t="shared" si="3"/>
        <v>2288</v>
      </c>
      <c r="C160" s="112">
        <v>112.09</v>
      </c>
      <c r="D160" s="112">
        <v>139.75</v>
      </c>
      <c r="E160" s="112">
        <v>178.08</v>
      </c>
      <c r="F160" s="112">
        <v>266.8</v>
      </c>
      <c r="G160" s="112">
        <v>426.28</v>
      </c>
      <c r="H160" s="112">
        <v>487</v>
      </c>
      <c r="I160" s="112">
        <v>502.17</v>
      </c>
    </row>
    <row r="161" ht="15.5" spans="1:9">
      <c r="A161" s="111">
        <v>144</v>
      </c>
      <c r="B161" s="110">
        <f t="shared" si="3"/>
        <v>2304</v>
      </c>
      <c r="C161" s="112">
        <v>112.87</v>
      </c>
      <c r="D161" s="112">
        <v>140.74</v>
      </c>
      <c r="E161" s="112">
        <v>179.32</v>
      </c>
      <c r="F161" s="112">
        <v>268.68</v>
      </c>
      <c r="G161" s="112">
        <v>429.26</v>
      </c>
      <c r="H161" s="112">
        <v>490.4</v>
      </c>
      <c r="I161" s="112">
        <v>505.68</v>
      </c>
    </row>
    <row r="162" ht="15.5" spans="1:9">
      <c r="A162" s="111">
        <v>145</v>
      </c>
      <c r="B162" s="110">
        <f t="shared" si="3"/>
        <v>2320</v>
      </c>
      <c r="C162" s="112">
        <v>113.66</v>
      </c>
      <c r="D162" s="112">
        <v>141.71</v>
      </c>
      <c r="E162" s="112">
        <v>180.56</v>
      </c>
      <c r="F162" s="112">
        <v>270.54</v>
      </c>
      <c r="G162" s="112">
        <v>432.24</v>
      </c>
      <c r="H162" s="112">
        <v>493.8</v>
      </c>
      <c r="I162" s="112">
        <v>509.21</v>
      </c>
    </row>
    <row r="163" ht="15.5" spans="1:9">
      <c r="A163" s="111">
        <v>146</v>
      </c>
      <c r="B163" s="110">
        <f t="shared" si="3"/>
        <v>2336</v>
      </c>
      <c r="C163" s="112">
        <v>114.44</v>
      </c>
      <c r="D163" s="112">
        <v>142.7</v>
      </c>
      <c r="E163" s="112">
        <v>181.82</v>
      </c>
      <c r="F163" s="112">
        <v>272.4</v>
      </c>
      <c r="G163" s="112">
        <v>435.23</v>
      </c>
      <c r="H163" s="112">
        <v>497.22</v>
      </c>
      <c r="I163" s="112">
        <v>512.72</v>
      </c>
    </row>
    <row r="164" ht="15.5" spans="1:9">
      <c r="A164" s="111">
        <v>147</v>
      </c>
      <c r="B164" s="110">
        <f t="shared" si="3"/>
        <v>2352</v>
      </c>
      <c r="C164" s="112">
        <v>115.22</v>
      </c>
      <c r="D164" s="112">
        <v>143.67</v>
      </c>
      <c r="E164" s="112">
        <v>183.06</v>
      </c>
      <c r="F164" s="112">
        <v>274.27</v>
      </c>
      <c r="G164" s="112">
        <v>438.21</v>
      </c>
      <c r="H164" s="112">
        <v>500.62</v>
      </c>
      <c r="I164" s="112">
        <v>516.23</v>
      </c>
    </row>
    <row r="165" ht="15.5" spans="1:9">
      <c r="A165" s="111">
        <v>148</v>
      </c>
      <c r="B165" s="110">
        <f t="shared" si="3"/>
        <v>2368</v>
      </c>
      <c r="C165" s="112">
        <v>116.01</v>
      </c>
      <c r="D165" s="112">
        <v>144.65</v>
      </c>
      <c r="E165" s="112">
        <v>184.3</v>
      </c>
      <c r="F165" s="112">
        <v>276.13</v>
      </c>
      <c r="G165" s="112">
        <v>442.14</v>
      </c>
      <c r="H165" s="112">
        <v>504.02</v>
      </c>
      <c r="I165" s="112">
        <v>519.74</v>
      </c>
    </row>
    <row r="166" ht="15.5" spans="1:9">
      <c r="A166" s="111">
        <v>149</v>
      </c>
      <c r="B166" s="110">
        <f t="shared" si="3"/>
        <v>2384</v>
      </c>
      <c r="C166" s="112">
        <v>116.79</v>
      </c>
      <c r="D166" s="112">
        <v>145.62</v>
      </c>
      <c r="E166" s="112">
        <v>185.56</v>
      </c>
      <c r="F166" s="112">
        <v>278.01</v>
      </c>
      <c r="G166" s="112">
        <v>445.14</v>
      </c>
      <c r="H166" s="112">
        <v>507.42</v>
      </c>
      <c r="I166" s="112">
        <v>523.25</v>
      </c>
    </row>
    <row r="167" ht="15.5" spans="1:9">
      <c r="A167" s="111">
        <v>150</v>
      </c>
      <c r="B167" s="110">
        <f t="shared" si="3"/>
        <v>2400</v>
      </c>
      <c r="C167" s="112">
        <v>117.57</v>
      </c>
      <c r="D167" s="112">
        <v>146.6</v>
      </c>
      <c r="E167" s="112">
        <v>186.8</v>
      </c>
      <c r="F167" s="112">
        <v>279.87</v>
      </c>
      <c r="G167" s="112">
        <v>447.15</v>
      </c>
      <c r="H167" s="112">
        <v>510.84</v>
      </c>
      <c r="I167" s="112">
        <v>526.76</v>
      </c>
    </row>
  </sheetData>
  <mergeCells count="2">
    <mergeCell ref="A1:B1"/>
    <mergeCell ref="C1:I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topLeftCell="A30" workbookViewId="0">
      <selection activeCell="U17" sqref="U17"/>
    </sheetView>
  </sheetViews>
  <sheetFormatPr defaultColWidth="8.89090909090909" defaultRowHeight="14"/>
  <cols>
    <col min="20" max="20" width="23.1090909090909" style="8" customWidth="1"/>
    <col min="21" max="21" width="26.1090909090909" customWidth="1"/>
  </cols>
  <sheetData>
    <row r="1" ht="14.5" spans="1:21">
      <c r="A1" s="9" t="s">
        <v>225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1" t="s">
        <v>107</v>
      </c>
    </row>
    <row r="2" ht="18.5" spans="1:21">
      <c r="A2" s="12" t="s">
        <v>108</v>
      </c>
      <c r="B2" s="13"/>
      <c r="C2" s="13"/>
      <c r="D2" s="14"/>
      <c r="E2" s="15" t="s">
        <v>109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6" t="s">
        <v>110</v>
      </c>
      <c r="Q2" s="16"/>
      <c r="R2" s="16"/>
      <c r="S2" s="17"/>
      <c r="T2" s="18" t="s">
        <v>146</v>
      </c>
      <c r="U2" s="19" t="s">
        <v>5</v>
      </c>
    </row>
    <row r="3" ht="14.5" spans="1:21">
      <c r="A3" s="20" t="s">
        <v>114</v>
      </c>
      <c r="B3" s="21"/>
      <c r="C3" s="21"/>
      <c r="D3" s="21"/>
      <c r="E3" s="22" t="s">
        <v>226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4" t="s">
        <v>116</v>
      </c>
      <c r="Q3" s="25"/>
      <c r="R3" s="25"/>
      <c r="S3" s="26"/>
      <c r="T3" s="26"/>
      <c r="U3" s="19" t="s">
        <v>8</v>
      </c>
    </row>
    <row r="4" ht="14.5" spans="1:21">
      <c r="A4" s="27" t="s">
        <v>207</v>
      </c>
      <c r="B4" s="28"/>
      <c r="C4" s="28"/>
      <c r="D4" s="28"/>
      <c r="E4" s="29" t="s">
        <v>208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30" t="s">
        <v>116</v>
      </c>
      <c r="Q4" s="31"/>
      <c r="R4" s="31"/>
      <c r="S4" s="32"/>
      <c r="T4" s="32"/>
      <c r="U4" s="19" t="s">
        <v>11</v>
      </c>
    </row>
    <row r="5" ht="14.5" spans="1:21">
      <c r="A5" s="33"/>
      <c r="B5" s="34"/>
      <c r="C5" s="34"/>
      <c r="D5" s="34"/>
      <c r="E5" s="35" t="s">
        <v>227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8"/>
      <c r="R5" s="38"/>
      <c r="S5" s="39"/>
      <c r="T5" s="39"/>
      <c r="U5" s="19" t="s">
        <v>13</v>
      </c>
    </row>
    <row r="6" ht="14.5" spans="1:21">
      <c r="A6" s="20" t="s">
        <v>228</v>
      </c>
      <c r="B6" s="21"/>
      <c r="C6" s="21"/>
      <c r="D6" s="21"/>
      <c r="E6" s="22" t="s">
        <v>229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40">
        <v>7</v>
      </c>
      <c r="Q6" s="41"/>
      <c r="R6" s="41"/>
      <c r="S6" s="42"/>
      <c r="T6" s="3" t="s">
        <v>149</v>
      </c>
      <c r="U6" s="19" t="s">
        <v>15</v>
      </c>
    </row>
    <row r="7" ht="15.25" spans="1:21">
      <c r="A7" s="27" t="s">
        <v>210</v>
      </c>
      <c r="B7" s="28"/>
      <c r="C7" s="28"/>
      <c r="D7" s="28"/>
      <c r="E7" s="43" t="s">
        <v>211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44" t="s">
        <v>230</v>
      </c>
      <c r="Q7" s="45"/>
      <c r="R7" s="46">
        <v>4.5</v>
      </c>
      <c r="S7" s="47"/>
      <c r="T7" s="3" t="s">
        <v>151</v>
      </c>
      <c r="U7" s="19" t="s">
        <v>17</v>
      </c>
    </row>
    <row r="8" ht="14.5" spans="1:21">
      <c r="A8" s="48"/>
      <c r="B8" s="49"/>
      <c r="C8" s="49"/>
      <c r="D8" s="49"/>
      <c r="E8" s="50"/>
      <c r="F8" s="51"/>
      <c r="G8" s="51"/>
      <c r="H8" s="51"/>
      <c r="I8" s="51"/>
      <c r="J8" s="51"/>
      <c r="K8" s="51"/>
      <c r="L8" s="51"/>
      <c r="M8" s="51"/>
      <c r="N8" s="51"/>
      <c r="O8" s="51"/>
      <c r="P8" s="52" t="s">
        <v>231</v>
      </c>
      <c r="Q8" s="53"/>
      <c r="R8" s="54">
        <v>6.55</v>
      </c>
      <c r="S8" s="55"/>
      <c r="T8" s="3" t="s">
        <v>157</v>
      </c>
      <c r="U8" s="11" t="s">
        <v>19</v>
      </c>
    </row>
    <row r="9" ht="15.25" spans="1:21">
      <c r="A9" s="27" t="s">
        <v>212</v>
      </c>
      <c r="B9" s="28"/>
      <c r="C9" s="28"/>
      <c r="D9" s="28"/>
      <c r="E9" s="43" t="s">
        <v>213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44" t="s">
        <v>230</v>
      </c>
      <c r="Q9" s="45"/>
      <c r="R9" s="46">
        <v>5.7</v>
      </c>
      <c r="S9" s="47"/>
      <c r="T9" s="3" t="s">
        <v>153</v>
      </c>
      <c r="U9" s="11" t="s">
        <v>22</v>
      </c>
    </row>
    <row r="10" ht="14.5" spans="1:21">
      <c r="A10" s="48"/>
      <c r="B10" s="49"/>
      <c r="C10" s="49"/>
      <c r="D10" s="49"/>
      <c r="E10" s="50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2" t="s">
        <v>231</v>
      </c>
      <c r="Q10" s="53"/>
      <c r="R10" s="54">
        <v>8.85</v>
      </c>
      <c r="S10" s="55"/>
      <c r="T10" s="3" t="s">
        <v>232</v>
      </c>
      <c r="U10" s="11" t="s">
        <v>25</v>
      </c>
    </row>
    <row r="11" ht="14.5" spans="1:21">
      <c r="A11" s="20" t="s">
        <v>233</v>
      </c>
      <c r="B11" s="21"/>
      <c r="C11" s="21"/>
      <c r="D11" s="21"/>
      <c r="E11" s="22" t="s">
        <v>234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56">
        <v>16.5</v>
      </c>
      <c r="Q11" s="57"/>
      <c r="R11" s="57"/>
      <c r="S11" s="58"/>
      <c r="T11" s="3" t="s">
        <v>155</v>
      </c>
      <c r="U11" s="11" t="s">
        <v>27</v>
      </c>
    </row>
    <row r="12" ht="14.5" spans="1:21">
      <c r="A12" s="59" t="s">
        <v>235</v>
      </c>
      <c r="B12" s="28"/>
      <c r="C12" s="28"/>
      <c r="D12" s="28"/>
      <c r="E12" s="60" t="s">
        <v>236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 t="s">
        <v>237</v>
      </c>
      <c r="Q12" s="63"/>
      <c r="R12" s="64">
        <v>46.5</v>
      </c>
      <c r="S12" s="65"/>
      <c r="T12" s="3" t="s">
        <v>238</v>
      </c>
    </row>
    <row r="13" ht="14.5" spans="1:21">
      <c r="A13" s="33"/>
      <c r="B13" s="34"/>
      <c r="C13" s="34"/>
      <c r="D13" s="34"/>
      <c r="E13" s="66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8" t="s">
        <v>239</v>
      </c>
      <c r="Q13" s="69"/>
      <c r="R13" s="70">
        <v>50.75</v>
      </c>
      <c r="S13" s="71"/>
      <c r="T13" s="3"/>
    </row>
    <row r="14" ht="14.5" spans="1:21">
      <c r="A14" s="33"/>
      <c r="B14" s="34"/>
      <c r="C14" s="34"/>
      <c r="D14" s="34"/>
      <c r="E14" s="66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8" t="s">
        <v>240</v>
      </c>
      <c r="Q14" s="69"/>
      <c r="R14" s="70">
        <v>56.25</v>
      </c>
      <c r="S14" s="71"/>
      <c r="T14" s="3"/>
    </row>
    <row r="15" ht="14.5" spans="1:21">
      <c r="A15" s="48"/>
      <c r="B15" s="49"/>
      <c r="C15" s="49"/>
      <c r="D15" s="49"/>
      <c r="E15" s="72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4" t="s">
        <v>241</v>
      </c>
      <c r="Q15" s="75"/>
      <c r="R15" s="70">
        <v>58.75</v>
      </c>
      <c r="S15" s="71"/>
      <c r="T15" s="3"/>
    </row>
    <row r="16" ht="27" customHeight="1" spans="1:21">
      <c r="A16" s="59" t="s">
        <v>242</v>
      </c>
      <c r="B16" s="28"/>
      <c r="C16" s="28"/>
      <c r="D16" s="28"/>
      <c r="E16" s="43" t="s">
        <v>243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62" t="s">
        <v>237</v>
      </c>
      <c r="Q16" s="63"/>
      <c r="R16" s="64">
        <v>30</v>
      </c>
      <c r="S16" s="65"/>
      <c r="T16" s="76" t="s">
        <v>244</v>
      </c>
    </row>
    <row r="17" ht="27" customHeight="1" spans="1:20">
      <c r="A17" s="33"/>
      <c r="B17" s="34"/>
      <c r="C17" s="34"/>
      <c r="D17" s="34"/>
      <c r="E17" s="77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68" t="s">
        <v>239</v>
      </c>
      <c r="Q17" s="69"/>
      <c r="R17" s="70">
        <v>33.25</v>
      </c>
      <c r="S17" s="71"/>
      <c r="T17" s="79"/>
    </row>
    <row r="18" ht="27" customHeight="1" spans="1:20">
      <c r="A18" s="33"/>
      <c r="B18" s="34"/>
      <c r="C18" s="34"/>
      <c r="D18" s="34"/>
      <c r="E18" s="77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68" t="s">
        <v>240</v>
      </c>
      <c r="Q18" s="69"/>
      <c r="R18" s="80">
        <v>38.5</v>
      </c>
      <c r="S18" s="71"/>
      <c r="T18" s="79"/>
    </row>
    <row r="19" ht="27" customHeight="1" spans="1:20">
      <c r="A19" s="48"/>
      <c r="B19" s="49"/>
      <c r="C19" s="49"/>
      <c r="D19" s="49"/>
      <c r="E19" s="50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74" t="s">
        <v>241</v>
      </c>
      <c r="Q19" s="75"/>
      <c r="R19" s="81">
        <v>40.5</v>
      </c>
      <c r="S19" s="82"/>
      <c r="T19" s="79"/>
    </row>
    <row r="20" ht="14.5" spans="1:20">
      <c r="A20" s="59" t="s">
        <v>245</v>
      </c>
      <c r="B20" s="28"/>
      <c r="C20" s="28"/>
      <c r="D20" s="28"/>
      <c r="E20" s="43" t="s">
        <v>246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62" t="s">
        <v>237</v>
      </c>
      <c r="Q20" s="63"/>
      <c r="R20" s="64">
        <v>26.75</v>
      </c>
      <c r="S20" s="65"/>
      <c r="T20" s="3" t="s">
        <v>82</v>
      </c>
    </row>
    <row r="21" ht="14.5" spans="1:20">
      <c r="A21" s="33"/>
      <c r="B21" s="34"/>
      <c r="C21" s="34"/>
      <c r="D21" s="34"/>
      <c r="E21" s="77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68" t="s">
        <v>239</v>
      </c>
      <c r="Q21" s="69"/>
      <c r="R21" s="70">
        <v>31</v>
      </c>
      <c r="S21" s="71"/>
      <c r="T21" s="3"/>
    </row>
    <row r="22" ht="14.5" spans="1:20">
      <c r="A22" s="33"/>
      <c r="B22" s="34"/>
      <c r="C22" s="34"/>
      <c r="D22" s="34"/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68" t="s">
        <v>240</v>
      </c>
      <c r="Q22" s="69"/>
      <c r="R22" s="80">
        <v>33.25</v>
      </c>
      <c r="S22" s="71"/>
      <c r="T22" s="3"/>
    </row>
    <row r="23" ht="14.5" spans="1:20">
      <c r="A23" s="48"/>
      <c r="B23" s="49"/>
      <c r="C23" s="49"/>
      <c r="D23" s="49"/>
      <c r="E23" s="50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74" t="s">
        <v>241</v>
      </c>
      <c r="Q23" s="75"/>
      <c r="R23" s="81">
        <v>33.75</v>
      </c>
      <c r="S23" s="82"/>
      <c r="T23" s="3"/>
    </row>
    <row r="24" ht="14.5" spans="1:20">
      <c r="A24" s="59" t="s">
        <v>247</v>
      </c>
      <c r="B24" s="28"/>
      <c r="C24" s="28"/>
      <c r="D24" s="28"/>
      <c r="E24" s="83" t="s">
        <v>248</v>
      </c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62" t="s">
        <v>237</v>
      </c>
      <c r="Q24" s="63"/>
      <c r="R24" s="64">
        <v>219.5</v>
      </c>
      <c r="S24" s="65"/>
      <c r="T24" s="3" t="s">
        <v>249</v>
      </c>
    </row>
    <row r="25" ht="14.5" spans="1:20">
      <c r="A25" s="33"/>
      <c r="B25" s="34"/>
      <c r="C25" s="34"/>
      <c r="D25" s="34"/>
      <c r="E25" s="85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68" t="s">
        <v>239</v>
      </c>
      <c r="Q25" s="69"/>
      <c r="R25" s="70">
        <v>239.5</v>
      </c>
      <c r="S25" s="71"/>
      <c r="T25" s="3"/>
    </row>
    <row r="26" ht="14.5" spans="1:20">
      <c r="A26" s="33"/>
      <c r="B26" s="34"/>
      <c r="C26" s="34"/>
      <c r="D26" s="34"/>
      <c r="E26" s="85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68" t="s">
        <v>240</v>
      </c>
      <c r="Q26" s="69"/>
      <c r="R26" s="80">
        <v>273</v>
      </c>
      <c r="S26" s="71"/>
      <c r="T26" s="3"/>
    </row>
    <row r="27" ht="14.5" spans="1:20">
      <c r="A27" s="48"/>
      <c r="B27" s="49"/>
      <c r="C27" s="49"/>
      <c r="D27" s="49"/>
      <c r="E27" s="87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74" t="s">
        <v>241</v>
      </c>
      <c r="Q27" s="75"/>
      <c r="R27" s="81">
        <v>286</v>
      </c>
      <c r="S27" s="82"/>
      <c r="T27" s="3"/>
    </row>
    <row r="28" ht="14.5" spans="1:20">
      <c r="A28" s="59" t="s">
        <v>250</v>
      </c>
      <c r="B28" s="28"/>
      <c r="C28" s="28"/>
      <c r="D28" s="28"/>
      <c r="E28" s="43" t="s">
        <v>251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62" t="s">
        <v>237</v>
      </c>
      <c r="Q28" s="63"/>
      <c r="R28" s="64">
        <v>254.5</v>
      </c>
      <c r="S28" s="65"/>
      <c r="T28" s="76" t="s">
        <v>252</v>
      </c>
    </row>
    <row r="29" ht="14.5" spans="1:20">
      <c r="A29" s="33"/>
      <c r="B29" s="34"/>
      <c r="C29" s="34"/>
      <c r="D29" s="34"/>
      <c r="E29" s="77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68" t="s">
        <v>239</v>
      </c>
      <c r="Q29" s="69"/>
      <c r="R29" s="70">
        <v>274.5</v>
      </c>
      <c r="S29" s="71"/>
      <c r="T29" s="79"/>
    </row>
    <row r="30" ht="14.5" spans="1:20">
      <c r="A30" s="33"/>
      <c r="B30" s="34"/>
      <c r="C30" s="34"/>
      <c r="D30" s="34"/>
      <c r="E30" s="77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68" t="s">
        <v>240</v>
      </c>
      <c r="Q30" s="69"/>
      <c r="R30" s="80">
        <v>320.5</v>
      </c>
      <c r="S30" s="71"/>
      <c r="T30" s="79"/>
    </row>
    <row r="31" ht="14.5" spans="1:20">
      <c r="A31" s="48"/>
      <c r="B31" s="49"/>
      <c r="C31" s="49"/>
      <c r="D31" s="49"/>
      <c r="E31" s="50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74" t="s">
        <v>241</v>
      </c>
      <c r="Q31" s="75"/>
      <c r="R31" s="81">
        <v>331</v>
      </c>
      <c r="S31" s="82"/>
      <c r="T31" s="79"/>
    </row>
    <row r="32" ht="14.5" spans="1:20">
      <c r="A32" s="59" t="s">
        <v>253</v>
      </c>
      <c r="B32" s="28"/>
      <c r="C32" s="28"/>
      <c r="D32" s="28"/>
      <c r="E32" s="22" t="s">
        <v>254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40">
        <v>1875</v>
      </c>
      <c r="Q32" s="41"/>
      <c r="R32" s="41"/>
      <c r="S32" s="42"/>
      <c r="T32" s="76" t="s">
        <v>255</v>
      </c>
    </row>
    <row r="33" ht="14.5" spans="1:20">
      <c r="A33" s="27" t="s">
        <v>256</v>
      </c>
      <c r="B33" s="28"/>
      <c r="C33" s="28"/>
      <c r="D33" s="89"/>
      <c r="E33" s="90" t="s">
        <v>257</v>
      </c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1">
        <v>10.8</v>
      </c>
      <c r="Q33" s="57"/>
      <c r="R33" s="57"/>
      <c r="S33" s="58"/>
      <c r="T33" s="76" t="s">
        <v>258</v>
      </c>
    </row>
    <row r="34" ht="14.5" spans="1:20">
      <c r="A34" s="33"/>
      <c r="B34" s="92"/>
      <c r="C34" s="92"/>
      <c r="D34" s="93"/>
      <c r="E34" s="90" t="s">
        <v>259</v>
      </c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1">
        <v>8.25</v>
      </c>
      <c r="Q34" s="57"/>
      <c r="R34" s="57"/>
      <c r="S34" s="58"/>
      <c r="T34" s="76" t="s">
        <v>258</v>
      </c>
    </row>
    <row r="35" ht="14.5" spans="1:20">
      <c r="A35" s="48"/>
      <c r="B35" s="49"/>
      <c r="C35" s="49"/>
      <c r="D35" s="94"/>
      <c r="E35" s="90" t="s">
        <v>260</v>
      </c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1" t="s">
        <v>261</v>
      </c>
      <c r="Q35" s="57"/>
      <c r="R35" s="57"/>
      <c r="S35" s="58"/>
      <c r="T35" s="76" t="s">
        <v>258</v>
      </c>
    </row>
    <row r="36" ht="14.5" spans="1:20">
      <c r="A36" s="27" t="s">
        <v>262</v>
      </c>
      <c r="B36" s="28"/>
      <c r="C36" s="28"/>
      <c r="D36" s="89"/>
      <c r="E36" s="90" t="s">
        <v>257</v>
      </c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1">
        <v>107</v>
      </c>
      <c r="Q36" s="57"/>
      <c r="R36" s="57"/>
      <c r="S36" s="58"/>
      <c r="T36" s="76" t="s">
        <v>258</v>
      </c>
    </row>
    <row r="37" ht="14.5" spans="1:20">
      <c r="A37" s="33"/>
      <c r="B37" s="92"/>
      <c r="C37" s="92"/>
      <c r="D37" s="93"/>
      <c r="E37" s="90" t="s">
        <v>259</v>
      </c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1">
        <v>90.5</v>
      </c>
      <c r="Q37" s="57"/>
      <c r="R37" s="57"/>
      <c r="S37" s="58"/>
      <c r="T37" s="76" t="s">
        <v>258</v>
      </c>
    </row>
    <row r="38" ht="14.5" spans="1:20">
      <c r="A38" s="48"/>
      <c r="B38" s="49"/>
      <c r="C38" s="49"/>
      <c r="D38" s="94"/>
      <c r="E38" s="90" t="s">
        <v>260</v>
      </c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1" t="s">
        <v>261</v>
      </c>
      <c r="Q38" s="57"/>
      <c r="R38" s="57"/>
      <c r="S38" s="58"/>
      <c r="T38" s="76" t="s">
        <v>258</v>
      </c>
    </row>
    <row r="39" ht="14.5" spans="1:20">
      <c r="A39" s="27" t="s">
        <v>263</v>
      </c>
      <c r="B39" s="28"/>
      <c r="C39" s="28"/>
      <c r="D39" s="89"/>
      <c r="E39" s="90" t="s">
        <v>257</v>
      </c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1">
        <v>540</v>
      </c>
      <c r="Q39" s="57"/>
      <c r="R39" s="57"/>
      <c r="S39" s="58"/>
      <c r="T39" s="76" t="s">
        <v>258</v>
      </c>
    </row>
    <row r="40" ht="14.5" spans="1:20">
      <c r="A40" s="33"/>
      <c r="B40" s="92"/>
      <c r="C40" s="92"/>
      <c r="D40" s="93"/>
      <c r="E40" s="90" t="s">
        <v>259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1">
        <v>485</v>
      </c>
      <c r="Q40" s="57"/>
      <c r="R40" s="57"/>
      <c r="S40" s="58"/>
      <c r="T40" s="76" t="s">
        <v>258</v>
      </c>
    </row>
    <row r="41" ht="14.5" spans="1:20">
      <c r="A41" s="48"/>
      <c r="B41" s="49"/>
      <c r="C41" s="49"/>
      <c r="D41" s="94"/>
      <c r="E41" s="90" t="s">
        <v>260</v>
      </c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1" t="s">
        <v>261</v>
      </c>
      <c r="Q41" s="57"/>
      <c r="R41" s="57"/>
      <c r="S41" s="58"/>
      <c r="T41" s="76" t="s">
        <v>258</v>
      </c>
    </row>
    <row r="42" ht="14.5" spans="1:20">
      <c r="A42" s="27" t="s">
        <v>264</v>
      </c>
      <c r="B42" s="28"/>
      <c r="C42" s="28"/>
      <c r="D42" s="28"/>
      <c r="E42" s="90" t="s">
        <v>257</v>
      </c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1">
        <v>4.1</v>
      </c>
      <c r="Q42" s="57"/>
      <c r="R42" s="57"/>
      <c r="S42" s="58"/>
      <c r="T42" s="76" t="s">
        <v>258</v>
      </c>
    </row>
    <row r="43" ht="14.5" spans="1:20">
      <c r="A43" s="33"/>
      <c r="B43" s="34"/>
      <c r="C43" s="34"/>
      <c r="D43" s="34"/>
      <c r="E43" s="90" t="s">
        <v>259</v>
      </c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1">
        <v>2.2</v>
      </c>
      <c r="Q43" s="57"/>
      <c r="R43" s="57"/>
      <c r="S43" s="58"/>
      <c r="T43" s="76" t="s">
        <v>258</v>
      </c>
    </row>
    <row r="44" ht="14.5" spans="1:20">
      <c r="A44" s="33"/>
      <c r="B44" s="34"/>
      <c r="C44" s="34"/>
      <c r="D44" s="34"/>
      <c r="E44" s="90" t="s">
        <v>260</v>
      </c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1" t="s">
        <v>261</v>
      </c>
      <c r="Q44" s="57"/>
      <c r="R44" s="57"/>
      <c r="S44" s="58"/>
      <c r="T44" s="76" t="s">
        <v>258</v>
      </c>
    </row>
    <row r="45" ht="14.5" spans="1:20">
      <c r="A45" s="20" t="s">
        <v>265</v>
      </c>
      <c r="B45" s="21"/>
      <c r="C45" s="21"/>
      <c r="D45" s="21"/>
      <c r="E45" s="22" t="s">
        <v>266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40">
        <v>25.25</v>
      </c>
      <c r="Q45" s="41"/>
      <c r="R45" s="41"/>
      <c r="S45" s="42"/>
      <c r="T45" s="76" t="s">
        <v>191</v>
      </c>
    </row>
    <row r="46" ht="14.5" spans="1:20">
      <c r="A46" s="20" t="s">
        <v>267</v>
      </c>
      <c r="B46" s="21"/>
      <c r="C46" s="21"/>
      <c r="D46" s="21"/>
      <c r="E46" s="22" t="s">
        <v>268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40">
        <v>25.25</v>
      </c>
      <c r="Q46" s="41"/>
      <c r="R46" s="41"/>
      <c r="S46" s="42"/>
      <c r="T46" s="76" t="s">
        <v>269</v>
      </c>
    </row>
    <row r="47" ht="45" customHeight="1" spans="1:20">
      <c r="A47" s="27" t="s">
        <v>127</v>
      </c>
      <c r="B47" s="28"/>
      <c r="C47" s="28"/>
      <c r="D47" s="28"/>
      <c r="E47" s="43" t="s">
        <v>270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95" t="s">
        <v>271</v>
      </c>
      <c r="Q47" s="41"/>
      <c r="R47" s="41"/>
      <c r="S47" s="42"/>
      <c r="T47" s="76" t="s">
        <v>272</v>
      </c>
    </row>
    <row r="48" ht="14.5" spans="1:20">
      <c r="A48" s="48"/>
      <c r="B48" s="49"/>
      <c r="C48" s="49"/>
      <c r="D48" s="49"/>
      <c r="E48" s="50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95" t="s">
        <v>273</v>
      </c>
      <c r="Q48" s="41"/>
      <c r="R48" s="41"/>
      <c r="S48" s="42"/>
      <c r="T48" s="76" t="s">
        <v>274</v>
      </c>
    </row>
    <row r="49" ht="14.5" spans="1:20">
      <c r="A49" s="20" t="s">
        <v>275</v>
      </c>
      <c r="B49" s="21"/>
      <c r="C49" s="21"/>
      <c r="D49" s="21"/>
      <c r="E49" s="22" t="s">
        <v>276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96" t="s">
        <v>277</v>
      </c>
      <c r="Q49" s="97"/>
      <c r="R49" s="97"/>
      <c r="S49" s="98"/>
    </row>
    <row r="50" ht="14.5" spans="1:20">
      <c r="A50" s="20" t="s">
        <v>278</v>
      </c>
      <c r="B50" s="21"/>
      <c r="C50" s="21"/>
      <c r="D50" s="21"/>
      <c r="E50" s="22" t="s">
        <v>279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91">
        <v>1.65</v>
      </c>
      <c r="Q50" s="57"/>
      <c r="R50" s="57"/>
      <c r="S50" s="58"/>
      <c r="T50" s="99"/>
    </row>
    <row r="51" ht="14.5" spans="1:20">
      <c r="A51" s="100" t="s">
        <v>280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101"/>
      <c r="T51" s="67"/>
    </row>
    <row r="52" ht="14.5" spans="1:20">
      <c r="A52" s="102" t="s">
        <v>281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r="T52" s="67"/>
    </row>
  </sheetData>
  <mergeCells count="132">
    <mergeCell ref="A1:S1"/>
    <mergeCell ref="A2:D2"/>
    <mergeCell ref="P2:S2"/>
    <mergeCell ref="A3:D3"/>
    <mergeCell ref="E3:O3"/>
    <mergeCell ref="P3:S3"/>
    <mergeCell ref="E4:O4"/>
    <mergeCell ref="E5:O5"/>
    <mergeCell ref="A6:D6"/>
    <mergeCell ref="E6:O6"/>
    <mergeCell ref="P6:S6"/>
    <mergeCell ref="P7:Q7"/>
    <mergeCell ref="R7:S7"/>
    <mergeCell ref="P8:Q8"/>
    <mergeCell ref="R8:S8"/>
    <mergeCell ref="P9:Q9"/>
    <mergeCell ref="R9:S9"/>
    <mergeCell ref="P10:Q10"/>
    <mergeCell ref="R10:S10"/>
    <mergeCell ref="A11:D11"/>
    <mergeCell ref="E11:O11"/>
    <mergeCell ref="P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A32:D32"/>
    <mergeCell ref="E32:O32"/>
    <mergeCell ref="P32:S32"/>
    <mergeCell ref="E33:O33"/>
    <mergeCell ref="P33:S33"/>
    <mergeCell ref="E34:O34"/>
    <mergeCell ref="P34:S34"/>
    <mergeCell ref="E35:O35"/>
    <mergeCell ref="P35:S35"/>
    <mergeCell ref="E36:O36"/>
    <mergeCell ref="P36:S36"/>
    <mergeCell ref="E37:O37"/>
    <mergeCell ref="P37:S37"/>
    <mergeCell ref="E38:O38"/>
    <mergeCell ref="P38:S38"/>
    <mergeCell ref="E39:O39"/>
    <mergeCell ref="P39:S39"/>
    <mergeCell ref="E40:O40"/>
    <mergeCell ref="P40:S40"/>
    <mergeCell ref="E41:O41"/>
    <mergeCell ref="P41:S41"/>
    <mergeCell ref="E42:O42"/>
    <mergeCell ref="P42:S42"/>
    <mergeCell ref="E43:O43"/>
    <mergeCell ref="P43:S43"/>
    <mergeCell ref="E44:O44"/>
    <mergeCell ref="P44:S44"/>
    <mergeCell ref="A45:D45"/>
    <mergeCell ref="E45:O45"/>
    <mergeCell ref="P45:S45"/>
    <mergeCell ref="A46:D46"/>
    <mergeCell ref="E46:O46"/>
    <mergeCell ref="P46:S46"/>
    <mergeCell ref="P47:S47"/>
    <mergeCell ref="P48:S48"/>
    <mergeCell ref="A49:D49"/>
    <mergeCell ref="E49:O49"/>
    <mergeCell ref="P49:S49"/>
    <mergeCell ref="A50:D50"/>
    <mergeCell ref="E50:O50"/>
    <mergeCell ref="P50:S50"/>
    <mergeCell ref="A51:S51"/>
    <mergeCell ref="A52:S52"/>
    <mergeCell ref="T12:T15"/>
    <mergeCell ref="T16:T19"/>
    <mergeCell ref="T20:T23"/>
    <mergeCell ref="T24:T27"/>
    <mergeCell ref="T28:T31"/>
    <mergeCell ref="A4:D5"/>
    <mergeCell ref="P4:S5"/>
    <mergeCell ref="A7:D8"/>
    <mergeCell ref="E7:O8"/>
    <mergeCell ref="A9:D10"/>
    <mergeCell ref="E9:O10"/>
    <mergeCell ref="A12:D15"/>
    <mergeCell ref="E12:O15"/>
    <mergeCell ref="A16:D19"/>
    <mergeCell ref="E16:O19"/>
    <mergeCell ref="A20:D23"/>
    <mergeCell ref="E20:O23"/>
    <mergeCell ref="A24:D27"/>
    <mergeCell ref="E24:O27"/>
    <mergeCell ref="A28:D31"/>
    <mergeCell ref="E28:O31"/>
    <mergeCell ref="A33:D35"/>
    <mergeCell ref="A36:D38"/>
    <mergeCell ref="A39:D41"/>
    <mergeCell ref="A42:D44"/>
    <mergeCell ref="A47:D48"/>
    <mergeCell ref="E47:O48"/>
  </mergeCells>
  <hyperlinks>
    <hyperlink ref="E5" r:id="rId1" display="https://www.ups.com/us/en/support/shipping-support/shipping-costs-rates/fuel-surcharges.page" tooltip="https://www.ups.com/us/en/support/shipping-support/shipping-costs-rates/fuel-surcharges.page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zoomScale="115" zoomScaleNormal="115" workbookViewId="0">
      <selection activeCell="D11" sqref="D11"/>
    </sheetView>
  </sheetViews>
  <sheetFormatPr defaultColWidth="8.89090909090909" defaultRowHeight="14" outlineLevelCol="6"/>
  <cols>
    <col min="1" max="1" width="31.6636363636364" customWidth="1"/>
    <col min="2" max="2" width="42.3363636363636" customWidth="1"/>
    <col min="7" max="7" width="23.1090909090909" customWidth="1"/>
  </cols>
  <sheetData>
    <row r="1" spans="1:7">
      <c r="A1" s="1" t="s">
        <v>282</v>
      </c>
      <c r="B1" s="1"/>
      <c r="C1" s="1"/>
      <c r="D1" s="1"/>
      <c r="E1" s="1"/>
      <c r="F1" s="1"/>
      <c r="G1" s="1"/>
    </row>
    <row r="2" ht="26" spans="1:7">
      <c r="A2" s="2" t="s">
        <v>145</v>
      </c>
      <c r="B2" s="2" t="s">
        <v>146</v>
      </c>
      <c r="C2" s="2" t="s">
        <v>25</v>
      </c>
      <c r="D2" s="2" t="s">
        <v>22</v>
      </c>
      <c r="E2" s="2" t="s">
        <v>19</v>
      </c>
      <c r="F2" s="2" t="s">
        <v>147</v>
      </c>
      <c r="G2" s="2" t="s">
        <v>283</v>
      </c>
    </row>
    <row r="3" spans="1:7">
      <c r="A3" s="3" t="s">
        <v>165</v>
      </c>
      <c r="B3" s="3" t="s">
        <v>284</v>
      </c>
      <c r="C3" s="4">
        <v>10</v>
      </c>
      <c r="D3" s="4">
        <v>8</v>
      </c>
      <c r="E3" s="4">
        <v>7</v>
      </c>
      <c r="F3" s="5">
        <v>5.5</v>
      </c>
      <c r="G3" s="6" t="s">
        <v>285</v>
      </c>
    </row>
    <row r="4" spans="1:7">
      <c r="A4" s="3"/>
      <c r="B4" s="3" t="s">
        <v>286</v>
      </c>
      <c r="C4" s="4">
        <v>11</v>
      </c>
      <c r="D4" s="4">
        <v>9</v>
      </c>
      <c r="E4" s="4">
        <v>8</v>
      </c>
      <c r="F4" s="5">
        <v>6</v>
      </c>
      <c r="G4" s="1"/>
    </row>
    <row r="5" spans="1:7">
      <c r="A5" s="3"/>
      <c r="B5" s="3" t="s">
        <v>287</v>
      </c>
      <c r="C5" s="4">
        <v>12</v>
      </c>
      <c r="D5" s="4">
        <v>10</v>
      </c>
      <c r="E5" s="4">
        <v>9</v>
      </c>
      <c r="F5" s="5">
        <v>6.5</v>
      </c>
      <c r="G5" s="1"/>
    </row>
    <row r="6" spans="1:7">
      <c r="A6" s="3"/>
      <c r="B6" s="3" t="s">
        <v>288</v>
      </c>
      <c r="C6" s="4">
        <v>12</v>
      </c>
      <c r="D6" s="4">
        <v>10</v>
      </c>
      <c r="E6" s="4">
        <v>9</v>
      </c>
      <c r="F6" s="5">
        <v>7</v>
      </c>
      <c r="G6" s="1"/>
    </row>
    <row r="7" spans="1:7">
      <c r="A7" s="3" t="s">
        <v>176</v>
      </c>
      <c r="B7" s="3" t="s">
        <v>289</v>
      </c>
      <c r="C7" s="4">
        <v>53.5</v>
      </c>
      <c r="D7" s="4">
        <v>45.5</v>
      </c>
      <c r="E7" s="4">
        <v>43.5</v>
      </c>
      <c r="F7" s="5">
        <v>40.5</v>
      </c>
      <c r="G7" s="1"/>
    </row>
    <row r="8" spans="1:7">
      <c r="A8" s="3"/>
      <c r="B8" s="3" t="s">
        <v>290</v>
      </c>
      <c r="C8" s="4">
        <v>56.5</v>
      </c>
      <c r="D8" s="4">
        <v>48.5</v>
      </c>
      <c r="E8" s="4">
        <v>46.5</v>
      </c>
      <c r="F8" s="5">
        <v>43.5</v>
      </c>
      <c r="G8" s="1"/>
    </row>
    <row r="9" spans="1:7">
      <c r="A9" s="3"/>
      <c r="B9" s="3" t="s">
        <v>291</v>
      </c>
      <c r="C9" s="4">
        <v>61.5</v>
      </c>
      <c r="D9" s="4">
        <v>53.5</v>
      </c>
      <c r="E9" s="4">
        <v>51.5</v>
      </c>
      <c r="F9" s="5">
        <v>48.5</v>
      </c>
      <c r="G9" s="1"/>
    </row>
    <row r="10" spans="1:7">
      <c r="A10" s="3"/>
      <c r="B10" s="3" t="s">
        <v>292</v>
      </c>
      <c r="C10" s="4">
        <v>63.5</v>
      </c>
      <c r="D10" s="4">
        <v>55.5</v>
      </c>
      <c r="E10" s="4">
        <v>53.5</v>
      </c>
      <c r="F10" s="5">
        <v>50.5</v>
      </c>
      <c r="G10" s="1"/>
    </row>
    <row r="11" spans="1:7">
      <c r="A11" s="3" t="s">
        <v>182</v>
      </c>
      <c r="B11" s="3" t="s">
        <v>293</v>
      </c>
      <c r="C11" s="4">
        <v>53.5</v>
      </c>
      <c r="D11" s="4">
        <v>45.5</v>
      </c>
      <c r="E11" s="4">
        <v>43.5</v>
      </c>
      <c r="F11" s="4">
        <v>40.5</v>
      </c>
      <c r="G11" s="1"/>
    </row>
    <row r="12" spans="1:7">
      <c r="A12" s="3"/>
      <c r="B12" s="3" t="s">
        <v>294</v>
      </c>
      <c r="C12" s="4">
        <v>56.5</v>
      </c>
      <c r="D12" s="4">
        <v>48.5</v>
      </c>
      <c r="E12" s="4">
        <v>46.5</v>
      </c>
      <c r="F12" s="4">
        <v>43.5</v>
      </c>
      <c r="G12" s="1"/>
    </row>
    <row r="13" spans="1:7">
      <c r="A13" s="3"/>
      <c r="B13" s="3" t="s">
        <v>295</v>
      </c>
      <c r="C13" s="4">
        <v>61.5</v>
      </c>
      <c r="D13" s="4">
        <v>53.5</v>
      </c>
      <c r="E13" s="4">
        <v>51.5</v>
      </c>
      <c r="F13" s="4">
        <v>48.5</v>
      </c>
      <c r="G13" s="1"/>
    </row>
    <row r="14" spans="1:7">
      <c r="A14" s="3"/>
      <c r="B14" s="3" t="s">
        <v>296</v>
      </c>
      <c r="C14" s="4">
        <v>63.5</v>
      </c>
      <c r="D14" s="4">
        <v>55.5</v>
      </c>
      <c r="E14" s="4">
        <v>53.5</v>
      </c>
      <c r="F14" s="4">
        <v>50.5</v>
      </c>
      <c r="G14" s="1"/>
    </row>
    <row r="16" spans="1:7">
      <c r="A16" s="1" t="s">
        <v>297</v>
      </c>
      <c r="B16" s="1"/>
      <c r="C16" s="1"/>
      <c r="D16" s="1"/>
      <c r="E16" s="1"/>
      <c r="F16" s="1"/>
      <c r="G16" s="1"/>
    </row>
    <row r="17" ht="26" spans="1:7">
      <c r="A17" s="2" t="s">
        <v>145</v>
      </c>
      <c r="B17" s="2" t="s">
        <v>146</v>
      </c>
      <c r="C17" s="2" t="s">
        <v>25</v>
      </c>
      <c r="D17" s="2" t="s">
        <v>22</v>
      </c>
      <c r="E17" s="2" t="s">
        <v>19</v>
      </c>
      <c r="F17" s="2" t="s">
        <v>147</v>
      </c>
      <c r="G17" s="7" t="s">
        <v>283</v>
      </c>
    </row>
    <row r="18" spans="1:7">
      <c r="A18" s="3" t="s">
        <v>165</v>
      </c>
      <c r="B18" s="3" t="s">
        <v>284</v>
      </c>
      <c r="C18" s="4">
        <v>10</v>
      </c>
      <c r="D18" s="4">
        <v>8</v>
      </c>
      <c r="E18" s="4">
        <v>7</v>
      </c>
      <c r="F18" s="4">
        <v>5.5</v>
      </c>
      <c r="G18" s="6" t="s">
        <v>285</v>
      </c>
    </row>
    <row r="19" spans="1:7">
      <c r="A19" s="3"/>
      <c r="B19" s="3" t="s">
        <v>286</v>
      </c>
      <c r="C19" s="4">
        <v>11</v>
      </c>
      <c r="D19" s="4">
        <v>9</v>
      </c>
      <c r="E19" s="4">
        <v>8</v>
      </c>
      <c r="F19" s="4">
        <v>6</v>
      </c>
      <c r="G19" s="1"/>
    </row>
    <row r="20" spans="1:7">
      <c r="A20" s="3"/>
      <c r="B20" s="3" t="s">
        <v>287</v>
      </c>
      <c r="C20" s="4">
        <v>12</v>
      </c>
      <c r="D20" s="4">
        <v>10</v>
      </c>
      <c r="E20" s="4">
        <v>9</v>
      </c>
      <c r="F20" s="4">
        <v>6.5</v>
      </c>
      <c r="G20" s="1"/>
    </row>
    <row r="21" spans="1:7">
      <c r="A21" s="3"/>
      <c r="B21" s="3" t="s">
        <v>288</v>
      </c>
      <c r="C21" s="4">
        <v>12</v>
      </c>
      <c r="D21" s="4">
        <v>10</v>
      </c>
      <c r="E21" s="4">
        <v>9</v>
      </c>
      <c r="F21" s="4">
        <v>7</v>
      </c>
      <c r="G21" s="1"/>
    </row>
    <row r="22" spans="1:7">
      <c r="A22" s="3" t="s">
        <v>176</v>
      </c>
      <c r="B22" s="3" t="s">
        <v>289</v>
      </c>
      <c r="C22" s="4">
        <v>53</v>
      </c>
      <c r="D22" s="4">
        <v>45</v>
      </c>
      <c r="E22" s="4">
        <v>43</v>
      </c>
      <c r="F22" s="4">
        <v>40</v>
      </c>
      <c r="G22" s="1"/>
    </row>
    <row r="23" spans="1:7">
      <c r="A23" s="3"/>
      <c r="B23" s="3" t="s">
        <v>290</v>
      </c>
      <c r="C23" s="4">
        <v>56</v>
      </c>
      <c r="D23" s="4">
        <v>48</v>
      </c>
      <c r="E23" s="4">
        <v>46</v>
      </c>
      <c r="F23" s="4">
        <v>43</v>
      </c>
      <c r="G23" s="1"/>
    </row>
    <row r="24" spans="1:7">
      <c r="A24" s="3"/>
      <c r="B24" s="3" t="s">
        <v>291</v>
      </c>
      <c r="C24" s="4">
        <v>61</v>
      </c>
      <c r="D24" s="4">
        <v>53</v>
      </c>
      <c r="E24" s="4">
        <v>51</v>
      </c>
      <c r="F24" s="4">
        <v>48</v>
      </c>
      <c r="G24" s="1"/>
    </row>
    <row r="25" spans="1:7">
      <c r="A25" s="3"/>
      <c r="B25" s="3" t="s">
        <v>292</v>
      </c>
      <c r="C25" s="4">
        <v>63</v>
      </c>
      <c r="D25" s="4">
        <v>55</v>
      </c>
      <c r="E25" s="4">
        <v>53</v>
      </c>
      <c r="F25" s="4">
        <v>50</v>
      </c>
      <c r="G25" s="1"/>
    </row>
    <row r="26" spans="1:7">
      <c r="A26" s="3" t="s">
        <v>182</v>
      </c>
      <c r="B26" s="3" t="s">
        <v>293</v>
      </c>
      <c r="C26" s="4">
        <v>53</v>
      </c>
      <c r="D26" s="4">
        <v>45</v>
      </c>
      <c r="E26" s="4">
        <v>43</v>
      </c>
      <c r="F26" s="4">
        <v>40</v>
      </c>
      <c r="G26" s="1"/>
    </row>
    <row r="27" spans="1:7">
      <c r="A27" s="3"/>
      <c r="B27" s="3" t="s">
        <v>294</v>
      </c>
      <c r="C27" s="4">
        <v>56</v>
      </c>
      <c r="D27" s="4">
        <v>48</v>
      </c>
      <c r="E27" s="4">
        <v>46</v>
      </c>
      <c r="F27" s="4">
        <v>43</v>
      </c>
      <c r="G27" s="1"/>
    </row>
    <row r="28" spans="1:7">
      <c r="A28" s="3"/>
      <c r="B28" s="3" t="s">
        <v>295</v>
      </c>
      <c r="C28" s="4">
        <v>61</v>
      </c>
      <c r="D28" s="4">
        <v>53</v>
      </c>
      <c r="E28" s="4">
        <v>51</v>
      </c>
      <c r="F28" s="4">
        <v>48</v>
      </c>
      <c r="G28" s="1"/>
    </row>
    <row r="29" spans="1:7">
      <c r="A29" s="3"/>
      <c r="B29" s="3" t="s">
        <v>296</v>
      </c>
      <c r="C29" s="4">
        <v>63</v>
      </c>
      <c r="D29" s="4">
        <v>55</v>
      </c>
      <c r="E29" s="4">
        <v>53</v>
      </c>
      <c r="F29" s="4">
        <v>50</v>
      </c>
      <c r="G29" s="1"/>
    </row>
  </sheetData>
  <mergeCells count="10">
    <mergeCell ref="A1:G1"/>
    <mergeCell ref="A16:G16"/>
    <mergeCell ref="A3:A6"/>
    <mergeCell ref="A7:A10"/>
    <mergeCell ref="A11:A14"/>
    <mergeCell ref="A18:A21"/>
    <mergeCell ref="A22:A25"/>
    <mergeCell ref="A26:A29"/>
    <mergeCell ref="G3:G14"/>
    <mergeCell ref="G18:G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更新汇总</vt:lpstr>
      <vt:lpstr>USPS</vt:lpstr>
      <vt:lpstr>FG-附加费</vt:lpstr>
      <vt:lpstr>FGE</vt:lpstr>
      <vt:lpstr>UPS Next Day Air</vt:lpstr>
      <vt:lpstr>UPS 2nd Day Air</vt:lpstr>
      <vt:lpstr>next day和2nd的附加费</vt:lpstr>
      <vt:lpstr>1.19新-FG-附加费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2026-01-12T08:00:00Z</dcterms:created>
  <dcterms:modified xsi:type="dcterms:W3CDTF">2026-01-27T07:35:25Z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3CC13B3DB20847879EC82807F721C9C4_13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